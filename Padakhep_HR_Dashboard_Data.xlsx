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BFF962C-E80C-4C74-8414-4AD307A4CAFF}" xr6:coauthVersionLast="47" xr6:coauthVersionMax="47" xr10:uidLastSave="{00000000-0000-0000-0000-000000000000}"/>
  <bookViews>
    <workbookView xWindow="-110" yWindow="-110" windowWidth="19420" windowHeight="11500" tabRatio="500" firstSheet="1" activeTab="1" xr2:uid="{00000000-000D-0000-FFFF-FFFF00000000}"/>
  </bookViews>
  <sheets>
    <sheet name="Instructions" sheetId="1" r:id="rId1"/>
    <sheet name="Dashboard_KPIs" sheetId="2" r:id="rId2"/>
    <sheet name="Employee_Master" sheetId="3" r:id="rId3"/>
    <sheet name="Dept_Payroll_Summary" sheetId="4" r:id="rId4"/>
    <sheet name="Recruitment" sheetId="5" r:id="rId5"/>
    <sheet name="Attrition" sheetId="6" r:id="rId6"/>
    <sheet name="Training" sheetId="7" r:id="rId7"/>
    <sheet name="Leav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1" i="8" l="1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36" i="5"/>
  <c r="F35" i="5"/>
  <c r="F34" i="5"/>
  <c r="F33" i="5"/>
  <c r="F32" i="5"/>
  <c r="F29" i="5"/>
  <c r="F28" i="5"/>
  <c r="F27" i="5"/>
  <c r="F26" i="5"/>
  <c r="F25" i="5"/>
  <c r="F24" i="5"/>
  <c r="F22" i="5"/>
  <c r="F21" i="5"/>
  <c r="F20" i="5"/>
  <c r="F19" i="5"/>
  <c r="F18" i="5"/>
  <c r="F17" i="5"/>
  <c r="F16" i="5"/>
  <c r="F15" i="5"/>
  <c r="E15" i="2" s="1"/>
  <c r="F14" i="5"/>
  <c r="F13" i="5"/>
  <c r="F12" i="5"/>
  <c r="F11" i="5"/>
  <c r="F10" i="5"/>
  <c r="F9" i="5"/>
  <c r="F8" i="5"/>
  <c r="F5" i="5"/>
  <c r="F4" i="5"/>
  <c r="F3" i="5"/>
  <c r="F2" i="5"/>
  <c r="J17" i="4"/>
  <c r="I17" i="4"/>
  <c r="E17" i="4"/>
  <c r="F17" i="4" s="1"/>
  <c r="D17" i="4"/>
  <c r="C17" i="4"/>
  <c r="J16" i="4"/>
  <c r="I16" i="4"/>
  <c r="E16" i="4"/>
  <c r="F16" i="4" s="1"/>
  <c r="D16" i="4"/>
  <c r="C16" i="4"/>
  <c r="J15" i="4"/>
  <c r="I15" i="4"/>
  <c r="E15" i="4"/>
  <c r="F15" i="4" s="1"/>
  <c r="D15" i="4"/>
  <c r="C15" i="4"/>
  <c r="C31" i="2" s="1"/>
  <c r="J14" i="4"/>
  <c r="I14" i="4"/>
  <c r="F14" i="4"/>
  <c r="E14" i="4"/>
  <c r="D14" i="4"/>
  <c r="C14" i="4"/>
  <c r="J13" i="4"/>
  <c r="I13" i="4"/>
  <c r="E13" i="4"/>
  <c r="F13" i="4" s="1"/>
  <c r="D13" i="4"/>
  <c r="C13" i="4"/>
  <c r="J12" i="4"/>
  <c r="I12" i="4"/>
  <c r="E12" i="4"/>
  <c r="F12" i="4" s="1"/>
  <c r="D12" i="4"/>
  <c r="C12" i="4"/>
  <c r="J11" i="4"/>
  <c r="I11" i="4"/>
  <c r="F11" i="4"/>
  <c r="E11" i="4"/>
  <c r="D11" i="4"/>
  <c r="C11" i="4"/>
  <c r="J10" i="4"/>
  <c r="I10" i="4"/>
  <c r="E10" i="4"/>
  <c r="F10" i="4" s="1"/>
  <c r="D10" i="4"/>
  <c r="C10" i="4"/>
  <c r="J9" i="4"/>
  <c r="I9" i="4"/>
  <c r="E9" i="4"/>
  <c r="F9" i="4" s="1"/>
  <c r="D9" i="4"/>
  <c r="C9" i="4"/>
  <c r="J8" i="4"/>
  <c r="I8" i="4"/>
  <c r="F8" i="4"/>
  <c r="E8" i="4"/>
  <c r="D8" i="4"/>
  <c r="C8" i="4"/>
  <c r="J7" i="4"/>
  <c r="I7" i="4"/>
  <c r="E7" i="4"/>
  <c r="F7" i="4" s="1"/>
  <c r="D7" i="4"/>
  <c r="C7" i="4"/>
  <c r="J6" i="4"/>
  <c r="J18" i="4" s="1"/>
  <c r="I6" i="4"/>
  <c r="I18" i="4" s="1"/>
  <c r="E6" i="4"/>
  <c r="F6" i="4" s="1"/>
  <c r="D6" i="4"/>
  <c r="D18" i="4" s="1"/>
  <c r="C6" i="4"/>
  <c r="C22" i="2" s="1"/>
  <c r="G161" i="3"/>
  <c r="E161" i="3"/>
  <c r="G160" i="3"/>
  <c r="E160" i="3"/>
  <c r="G159" i="3"/>
  <c r="E159" i="3"/>
  <c r="G158" i="3"/>
  <c r="E158" i="3"/>
  <c r="G157" i="3"/>
  <c r="E157" i="3"/>
  <c r="G156" i="3"/>
  <c r="E156" i="3"/>
  <c r="G155" i="3"/>
  <c r="E155" i="3"/>
  <c r="G154" i="3"/>
  <c r="E154" i="3"/>
  <c r="G153" i="3"/>
  <c r="E153" i="3"/>
  <c r="G152" i="3"/>
  <c r="E152" i="3"/>
  <c r="G151" i="3"/>
  <c r="E151" i="3"/>
  <c r="G150" i="3"/>
  <c r="E150" i="3"/>
  <c r="G149" i="3"/>
  <c r="E149" i="3"/>
  <c r="G148" i="3"/>
  <c r="E148" i="3"/>
  <c r="G147" i="3"/>
  <c r="E147" i="3"/>
  <c r="G146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G135" i="3"/>
  <c r="H6" i="4" s="1"/>
  <c r="E135" i="3"/>
  <c r="G134" i="3"/>
  <c r="E134" i="3"/>
  <c r="G133" i="3"/>
  <c r="E133" i="3"/>
  <c r="G132" i="3"/>
  <c r="E132" i="3"/>
  <c r="G131" i="3"/>
  <c r="E131" i="3"/>
  <c r="G130" i="3"/>
  <c r="E130" i="3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H9" i="4" s="1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H12" i="4" s="1"/>
  <c r="E17" i="3"/>
  <c r="G12" i="4" s="1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16" i="4" s="1"/>
  <c r="G5" i="3"/>
  <c r="E5" i="3"/>
  <c r="G13" i="4" s="1"/>
  <c r="G4" i="3"/>
  <c r="E4" i="3"/>
  <c r="G3" i="3"/>
  <c r="E3" i="3"/>
  <c r="G2" i="3"/>
  <c r="E2" i="3"/>
  <c r="F49" i="2"/>
  <c r="G49" i="2" s="1"/>
  <c r="F48" i="2"/>
  <c r="G48" i="2" s="1"/>
  <c r="F47" i="2"/>
  <c r="G47" i="2" s="1"/>
  <c r="F46" i="2"/>
  <c r="G46" i="2" s="1"/>
  <c r="G45" i="2"/>
  <c r="F45" i="2"/>
  <c r="C45" i="2"/>
  <c r="F44" i="2"/>
  <c r="G44" i="2" s="1"/>
  <c r="C44" i="2"/>
  <c r="F43" i="2"/>
  <c r="G43" i="2" s="1"/>
  <c r="C43" i="2"/>
  <c r="F42" i="2"/>
  <c r="G42" i="2" s="1"/>
  <c r="C42" i="2"/>
  <c r="G41" i="2"/>
  <c r="F41" i="2"/>
  <c r="C41" i="2"/>
  <c r="F40" i="2"/>
  <c r="G40" i="2" s="1"/>
  <c r="C40" i="2"/>
  <c r="F39" i="2"/>
  <c r="G39" i="2" s="1"/>
  <c r="C39" i="2"/>
  <c r="G38" i="2"/>
  <c r="F38" i="2"/>
  <c r="C38" i="2"/>
  <c r="C33" i="2"/>
  <c r="B33" i="2"/>
  <c r="C32" i="2"/>
  <c r="B32" i="2"/>
  <c r="B31" i="2"/>
  <c r="C30" i="2"/>
  <c r="B30" i="2"/>
  <c r="M29" i="2"/>
  <c r="C29" i="2"/>
  <c r="B29" i="2"/>
  <c r="M28" i="2"/>
  <c r="C28" i="2"/>
  <c r="B28" i="2"/>
  <c r="M27" i="2"/>
  <c r="C27" i="2"/>
  <c r="B27" i="2"/>
  <c r="M26" i="2"/>
  <c r="C26" i="2"/>
  <c r="B26" i="2"/>
  <c r="M25" i="2"/>
  <c r="C25" i="2"/>
  <c r="B25" i="2"/>
  <c r="M24" i="2"/>
  <c r="J24" i="2"/>
  <c r="C24" i="2"/>
  <c r="B24" i="2"/>
  <c r="M23" i="2"/>
  <c r="J23" i="2"/>
  <c r="G23" i="2"/>
  <c r="C23" i="2"/>
  <c r="B23" i="2"/>
  <c r="M22" i="2"/>
  <c r="J22" i="2"/>
  <c r="G22" i="2"/>
  <c r="B22" i="2"/>
  <c r="K15" i="2"/>
  <c r="H15" i="2"/>
  <c r="B15" i="2"/>
  <c r="K11" i="2"/>
  <c r="H11" i="2"/>
  <c r="E11" i="2"/>
  <c r="K7" i="2"/>
  <c r="H7" i="2"/>
  <c r="E7" i="2"/>
  <c r="B7" i="2"/>
  <c r="H16" i="4" l="1"/>
  <c r="H11" i="4"/>
  <c r="H14" i="4"/>
  <c r="G8" i="4"/>
  <c r="H8" i="4"/>
  <c r="B11" i="2"/>
  <c r="G11" i="4"/>
  <c r="G7" i="4"/>
  <c r="G10" i="4"/>
  <c r="G15" i="4"/>
  <c r="G17" i="4"/>
  <c r="G6" i="4"/>
  <c r="H15" i="4"/>
  <c r="H17" i="4"/>
  <c r="H7" i="4"/>
  <c r="G14" i="4"/>
  <c r="H13" i="4"/>
  <c r="H10" i="4"/>
  <c r="G9" i="4"/>
  <c r="C18" i="4"/>
  <c r="E18" i="4"/>
  <c r="F18" i="4" l="1"/>
</calcChain>
</file>

<file path=xl/sharedStrings.xml><?xml version="1.0" encoding="utf-8"?>
<sst xmlns="http://schemas.openxmlformats.org/spreadsheetml/2006/main" count="3080" uniqueCount="562">
  <si>
    <t>HR Dashboard Data Pack — Padakhep Manabik Unnayan Kendra</t>
  </si>
  <si>
    <t>Prepared as a ready-to-use data source for building an HR dashboard (PivotTables / Charts / Power BI).</t>
  </si>
  <si>
    <t>What's inside</t>
  </si>
  <si>
    <t>Employee_Master</t>
  </si>
  <si>
    <t>One row per employee — the core table. Feeds headcount, demographics, tenure, salary, department/branch splits.</t>
  </si>
  <si>
    <t>Recruitment</t>
  </si>
  <si>
    <t>Vacancy-to-hire tracking — time-to-fill, applicant funnel, source of hire.</t>
  </si>
  <si>
    <t>Attrition</t>
  </si>
  <si>
    <t>Separated employees — exit type, reason, tenure at exit. Feeds turnover rate.</t>
  </si>
  <si>
    <t>Training</t>
  </si>
  <si>
    <t>Training records per employee — hours, cost, category. Feeds training coverage &amp; spend.</t>
  </si>
  <si>
    <t>Leave</t>
  </si>
  <si>
    <t>Leave entitlement/taken/balance by employee and type.</t>
  </si>
  <si>
    <t>Dept_Payroll_Summary</t>
  </si>
  <si>
    <t>Formula-driven roll-up by department (headcount, avg salary, gender split) — auto-updates from Employee_Master.</t>
  </si>
  <si>
    <t>Dashboard_KPIs</t>
  </si>
  <si>
    <t>Headline KPIs + breakdown tables + charts, all formula-driven from the sheets above. Copy this sheet's tables into your dashboard tool, or build directly on it.</t>
  </si>
  <si>
    <t>IMPORTANT — this is SAMPLE data</t>
  </si>
  <si>
    <t>All employee names, IDs, salaries and dates in this workbook are FICTIONAL placeholders generated to match Padakhep's known scale (700+ offices, 4,500+ employees, 8 divisions, per padakhep.org) and typical NGO/MFI department structure. Real HRIS/payroll export data was NOT available to me — please replace the sample rows with your actual employee records.</t>
  </si>
  <si>
    <t>How to use</t>
  </si>
  <si>
    <t>1.</t>
  </si>
  <si>
    <t>Export your live data from your HRIS/payroll system (or ask HR/Admin for the register) into the same column structure as each sheet below.</t>
  </si>
  <si>
    <t>2.</t>
  </si>
  <si>
    <t>Paste your real records into Employee_Master, Recruitment, Attrition, Training and Leave, replacing the sample rows (keep the header row).</t>
  </si>
  <si>
    <t>3.</t>
  </si>
  <si>
    <t>Dept_Payroll_Summary and Dashboard_KPIs will recalculate automatically — they reference the tables by name, not hardcoded values.</t>
  </si>
  <si>
    <t>4.</t>
  </si>
  <si>
    <t>Cells shaded yellow are the ones meant to be typed/edited; formula cells are left un-shaded — do not overwrite them.</t>
  </si>
  <si>
    <t>5.</t>
  </si>
  <si>
    <t>Build your dashboard (charts/slicers) from Dashboard_KPIs, or load Employee_Master into a PivotTable for deeper cuts.</t>
  </si>
  <si>
    <t>Source: company overview, scale figures and division names taken from https://www.padakhep.org/ (accessed Sept 2026).</t>
  </si>
  <si>
    <t>HR Dashboard — Key Metrics</t>
  </si>
  <si>
    <t>Padakhep Manabik Unnayan Kendra  |  All figures auto-calculate from Employee_Master / Recruitment / Attrition / Training</t>
  </si>
  <si>
    <t>Total Active Headcount</t>
  </si>
  <si>
    <t>Total Employees (incl. separated)</t>
  </si>
  <si>
    <t>% Female</t>
  </si>
  <si>
    <t>Average Age (yrs)</t>
  </si>
  <si>
    <t>Average Tenure (yrs)</t>
  </si>
  <si>
    <t>New Hires (last 12 months)</t>
  </si>
  <si>
    <t>Separations (last 12 months)</t>
  </si>
  <si>
    <t>Annualized Turnover Rate</t>
  </si>
  <si>
    <t>Open Positions (Recruitment)</t>
  </si>
  <si>
    <t>Avg. Days to Fill a Vacancy</t>
  </si>
  <si>
    <t>Training Sessions (this year)</t>
  </si>
  <si>
    <t>Total Training Spend (BDT)</t>
  </si>
  <si>
    <t>Active Headcount by Department</t>
  </si>
  <si>
    <t>Active Headcount by Gender</t>
  </si>
  <si>
    <t>Headcount by Employment Type</t>
  </si>
  <si>
    <t>Active Headcount by Region</t>
  </si>
  <si>
    <t>Department</t>
  </si>
  <si>
    <t>Headcount</t>
  </si>
  <si>
    <t>Gender</t>
  </si>
  <si>
    <t>Employment Type</t>
  </si>
  <si>
    <t>Region</t>
  </si>
  <si>
    <t>Male</t>
  </si>
  <si>
    <t>Permanent</t>
  </si>
  <si>
    <t>Barishal</t>
  </si>
  <si>
    <t>Female</t>
  </si>
  <si>
    <t>Contractual</t>
  </si>
  <si>
    <t>Chattogram</t>
  </si>
  <si>
    <t>Probationary</t>
  </si>
  <si>
    <t>Dhaka</t>
  </si>
  <si>
    <t>Khulna</t>
  </si>
  <si>
    <t>Mymensingh</t>
  </si>
  <si>
    <t>Rajshahi</t>
  </si>
  <si>
    <t>Rangpur</t>
  </si>
  <si>
    <t>Sylhet</t>
  </si>
  <si>
    <t>Separations by Reason (Attrition sheet)</t>
  </si>
  <si>
    <t>New Hires by Month (last 12 months)</t>
  </si>
  <si>
    <t>Reason</t>
  </si>
  <si>
    <t>Count</t>
  </si>
  <si>
    <t>Month</t>
  </si>
  <si>
    <t>New Hires</t>
  </si>
  <si>
    <t>Better Opportunity</t>
  </si>
  <si>
    <t>Contract Ended</t>
  </si>
  <si>
    <t>Health Issue</t>
  </si>
  <si>
    <t>Higher Studies</t>
  </si>
  <si>
    <t>Performance Issue</t>
  </si>
  <si>
    <t>Personal/Family Reason</t>
  </si>
  <si>
    <t>Relocation</t>
  </si>
  <si>
    <t>Retirement</t>
  </si>
  <si>
    <t>EmpID</t>
  </si>
  <si>
    <t>Name</t>
  </si>
  <si>
    <t>Date of Birth</t>
  </si>
  <si>
    <t>Age</t>
  </si>
  <si>
    <t>Joining Date</t>
  </si>
  <si>
    <t>Tenure (Years)</t>
  </si>
  <si>
    <t>Designation</t>
  </si>
  <si>
    <t>Job Level</t>
  </si>
  <si>
    <t>Region/Division</t>
  </si>
  <si>
    <t>Branch/Office</t>
  </si>
  <si>
    <t>Employment Status</t>
  </si>
  <si>
    <t>Education Level</t>
  </si>
  <si>
    <t>Marital Status</t>
  </si>
  <si>
    <t>Monthly Gross Salary (BDT)</t>
  </si>
  <si>
    <t>PDK-1001</t>
  </si>
  <si>
    <t>Md. Rafiqul Uddin</t>
  </si>
  <si>
    <t>Market Connect</t>
  </si>
  <si>
    <t>Manager</t>
  </si>
  <si>
    <t>Mid Management</t>
  </si>
  <si>
    <t>Khulna Sadar Branch</t>
  </si>
  <si>
    <t>Active</t>
  </si>
  <si>
    <t>Master's</t>
  </si>
  <si>
    <t>Married</t>
  </si>
  <si>
    <t>PDK-1002</t>
  </si>
  <si>
    <t>Md. Nazrul Uddin</t>
  </si>
  <si>
    <t>Padakhep Institute of Development &amp; Management</t>
  </si>
  <si>
    <t>Accounts Officer</t>
  </si>
  <si>
    <t>Officer</t>
  </si>
  <si>
    <t>Rangpur Sadar Branch</t>
  </si>
  <si>
    <t>SSC</t>
  </si>
  <si>
    <t>PDK-1003</t>
  </si>
  <si>
    <t>Md. Sohel Molla</t>
  </si>
  <si>
    <t>Education &amp; Skill Development</t>
  </si>
  <si>
    <t>Assistant</t>
  </si>
  <si>
    <t>Support Staff</t>
  </si>
  <si>
    <t>Barishal Sadar Branch</t>
  </si>
  <si>
    <t>Resigned</t>
  </si>
  <si>
    <t>Bachelor's</t>
  </si>
  <si>
    <t>Single</t>
  </si>
  <si>
    <t>PDK-1004</t>
  </si>
  <si>
    <t>Md. Delwar Miah</t>
  </si>
  <si>
    <t>Guard</t>
  </si>
  <si>
    <t>Chattogram Sadar Branch</t>
  </si>
  <si>
    <t>PDK-1005</t>
  </si>
  <si>
    <t>Md. Habibur Sarker</t>
  </si>
  <si>
    <t>Padakhep Printing &amp; Packaging</t>
  </si>
  <si>
    <t>PDK-1006</t>
  </si>
  <si>
    <t>Md. Rezaul Ahmed</t>
  </si>
  <si>
    <t>Jamalpur Branch</t>
  </si>
  <si>
    <t>HSC</t>
  </si>
  <si>
    <t>PDK-1007</t>
  </si>
  <si>
    <t>Md. Kamal Miah</t>
  </si>
  <si>
    <t>Health &amp; Nutrition</t>
  </si>
  <si>
    <t>HR Officer</t>
  </si>
  <si>
    <t>PDK-1008</t>
  </si>
  <si>
    <t>Shahida Miah</t>
  </si>
  <si>
    <t>Field Officer</t>
  </si>
  <si>
    <t>Sylhet Sadar Branch</t>
  </si>
  <si>
    <t>PDK-1009</t>
  </si>
  <si>
    <t>Md. Anwar Khatun</t>
  </si>
  <si>
    <t>Financial Impact Choices (Microfinance)</t>
  </si>
  <si>
    <t>Program Officer</t>
  </si>
  <si>
    <t>Savar Branch</t>
  </si>
  <si>
    <t>PDK-1010</t>
  </si>
  <si>
    <t>Shirin Hossain</t>
  </si>
  <si>
    <t>MIS Officer</t>
  </si>
  <si>
    <t>Netrokona Branch</t>
  </si>
  <si>
    <t>PDK-1011</t>
  </si>
  <si>
    <t>Parvin Chowdhury</t>
  </si>
  <si>
    <t>Monitoring, Evaluation &amp; Learning</t>
  </si>
  <si>
    <t>Mymensingh Sadar Branch</t>
  </si>
  <si>
    <t>PDK-1012</t>
  </si>
  <si>
    <t>Nasima Rahman</t>
  </si>
  <si>
    <t>Jashore Branch</t>
  </si>
  <si>
    <t>PDK-1013</t>
  </si>
  <si>
    <t>Parvin Talukder</t>
  </si>
  <si>
    <t>Human Resources &amp; Admin</t>
  </si>
  <si>
    <t>PDK-1014</t>
  </si>
  <si>
    <t>Md. Delwar Molla</t>
  </si>
  <si>
    <t>Social Development</t>
  </si>
  <si>
    <t>PDK-1015</t>
  </si>
  <si>
    <t>Md. Jahangir Begum</t>
  </si>
  <si>
    <t>Finance &amp; Accounts</t>
  </si>
  <si>
    <t>Bhola Branch</t>
  </si>
  <si>
    <t>Terminated</t>
  </si>
  <si>
    <t>PDK-1016</t>
  </si>
  <si>
    <t>Salma Islam</t>
  </si>
  <si>
    <t>IT &amp; MIS</t>
  </si>
  <si>
    <t>Office Support Staff</t>
  </si>
  <si>
    <t>PDK-1017</t>
  </si>
  <si>
    <t>Md. Aminul Mia</t>
  </si>
  <si>
    <t>Kurigram Branch</t>
  </si>
  <si>
    <t>PDK-1018</t>
  </si>
  <si>
    <t>Md. Kamal Islam</t>
  </si>
  <si>
    <t>PDK-1019</t>
  </si>
  <si>
    <t>Md. Ashraf Islam</t>
  </si>
  <si>
    <t>Deputy Manager</t>
  </si>
  <si>
    <t>Patuakhali Branch</t>
  </si>
  <si>
    <t>PDK-1020</t>
  </si>
  <si>
    <t>Md. Shahidul Sheikh</t>
  </si>
  <si>
    <t>Rangamati Branch</t>
  </si>
  <si>
    <t>PDK-1021</t>
  </si>
  <si>
    <t>Md. Shahjahan Rahman</t>
  </si>
  <si>
    <t>Coordinator</t>
  </si>
  <si>
    <t>Pabna Branch</t>
  </si>
  <si>
    <t>PDK-1022</t>
  </si>
  <si>
    <t>Parvin Miah</t>
  </si>
  <si>
    <t>PDK-1023</t>
  </si>
  <si>
    <t>Md. Shahjahan Talukder</t>
  </si>
  <si>
    <t>PDK-1024</t>
  </si>
  <si>
    <t>Shahida Khatun</t>
  </si>
  <si>
    <t>Driver</t>
  </si>
  <si>
    <t>PDK-1025</t>
  </si>
  <si>
    <t>Md. Rezaul Talukder</t>
  </si>
  <si>
    <t>Cox's Bazar Branch</t>
  </si>
  <si>
    <t>PDK-1026</t>
  </si>
  <si>
    <t>Md. Kamal Akter</t>
  </si>
  <si>
    <t>Habiganj Branch</t>
  </si>
  <si>
    <t>PDK-1027</t>
  </si>
  <si>
    <t>Ferdousi Mia</t>
  </si>
  <si>
    <t>PDK-1028</t>
  </si>
  <si>
    <t>Rebeka Sarker</t>
  </si>
  <si>
    <t>PDK-1029</t>
  </si>
  <si>
    <t>Dinajpur Branch</t>
  </si>
  <si>
    <t>PDK-1030</t>
  </si>
  <si>
    <t>Md. Shahjahan Chowdhury</t>
  </si>
  <si>
    <t>PDK-1031</t>
  </si>
  <si>
    <t>Nazma Chowdhury</t>
  </si>
  <si>
    <t>Satkhira Branch</t>
  </si>
  <si>
    <t>PDK-1032</t>
  </si>
  <si>
    <t>Md. Anwar Ahmed</t>
  </si>
  <si>
    <t>PDK-1033</t>
  </si>
  <si>
    <t>Sultana Chowdhury</t>
  </si>
  <si>
    <t>Moulvibazar Branch</t>
  </si>
  <si>
    <t>PDK-1034</t>
  </si>
  <si>
    <t>Sultana Uddin</t>
  </si>
  <si>
    <t>PDK-1035</t>
  </si>
  <si>
    <t>Md. Nazrul Chowdhury</t>
  </si>
  <si>
    <t>Retired</t>
  </si>
  <si>
    <t>PDK-1036</t>
  </si>
  <si>
    <t>Salma Miah</t>
  </si>
  <si>
    <t>PDK-1037</t>
  </si>
  <si>
    <t>Md. Shahjahan Miah</t>
  </si>
  <si>
    <t>PDK-1038</t>
  </si>
  <si>
    <t>Md. Mizanur Molla</t>
  </si>
  <si>
    <t>PDK-1039</t>
  </si>
  <si>
    <t>Kohinoor Uddin</t>
  </si>
  <si>
    <t>PDK-1040</t>
  </si>
  <si>
    <t>Nasrin Begum</t>
  </si>
  <si>
    <t>PDK-1041</t>
  </si>
  <si>
    <t>Shahida Sarker</t>
  </si>
  <si>
    <t>PDK-1042</t>
  </si>
  <si>
    <t>Md. Delwar Begum</t>
  </si>
  <si>
    <t>PDK-1043</t>
  </si>
  <si>
    <t>Rajshahi Sadar Branch</t>
  </si>
  <si>
    <t>PDK-1044</t>
  </si>
  <si>
    <t>Md. Yousuf Hossain</t>
  </si>
  <si>
    <t>Tejgaon HO Branch</t>
  </si>
  <si>
    <t>PDK-1045</t>
  </si>
  <si>
    <t>Shahida Molla</t>
  </si>
  <si>
    <t>PDK-1046</t>
  </si>
  <si>
    <t>Md. Faruk Mia</t>
  </si>
  <si>
    <t>PDK-1047</t>
  </si>
  <si>
    <t>Md. Shahidul Akter</t>
  </si>
  <si>
    <t>PDK-1048</t>
  </si>
  <si>
    <t>Md. Delwar Sheikh</t>
  </si>
  <si>
    <t>PDK-1049</t>
  </si>
  <si>
    <t>Kohinoor Rahman</t>
  </si>
  <si>
    <t>PDK-1050</t>
  </si>
  <si>
    <t>Md. Rafiqul Miah</t>
  </si>
  <si>
    <t>PDK-1051</t>
  </si>
  <si>
    <t>Md. Rezaul Akter</t>
  </si>
  <si>
    <t>Natore Branch</t>
  </si>
  <si>
    <t>PDK-1052</t>
  </si>
  <si>
    <t>Kohinoor Talukder</t>
  </si>
  <si>
    <t>PDK-1053</t>
  </si>
  <si>
    <t>Md. Delwar Uddin</t>
  </si>
  <si>
    <t>Director</t>
  </si>
  <si>
    <t>Senior Management</t>
  </si>
  <si>
    <t>PDK-1054</t>
  </si>
  <si>
    <t>Md. Shahidul Talukder</t>
  </si>
  <si>
    <t>PDK-1055</t>
  </si>
  <si>
    <t>Md. Rafiqul Begum</t>
  </si>
  <si>
    <t>PDK-1056</t>
  </si>
  <si>
    <t>Mahmuda Mia</t>
  </si>
  <si>
    <t>Senior Program Officer</t>
  </si>
  <si>
    <t>PDK-1057</t>
  </si>
  <si>
    <t>Md. Rezaul Molla</t>
  </si>
  <si>
    <t>PDK-1058</t>
  </si>
  <si>
    <t>Nasima Molla</t>
  </si>
  <si>
    <t>PDK-1059</t>
  </si>
  <si>
    <t>PDK-1060</t>
  </si>
  <si>
    <t>Md. Habibur Hossain</t>
  </si>
  <si>
    <t>PDK-1061</t>
  </si>
  <si>
    <t>Ferdousi Rahman</t>
  </si>
  <si>
    <t>PDK-1062</t>
  </si>
  <si>
    <t>Md. Mizanur Uddin</t>
  </si>
  <si>
    <t>Keraniganj Branch</t>
  </si>
  <si>
    <t>PDK-1063</t>
  </si>
  <si>
    <t>Md. Nazrul Mia</t>
  </si>
  <si>
    <t>PDK-1064</t>
  </si>
  <si>
    <t>Md. Yousuf Sheikh</t>
  </si>
  <si>
    <t>PDK-1065</t>
  </si>
  <si>
    <t>Parvin Rahman</t>
  </si>
  <si>
    <t>PDK-1066</t>
  </si>
  <si>
    <t>Md. Yousuf Khatun</t>
  </si>
  <si>
    <t>PDK-1067</t>
  </si>
  <si>
    <t>PDK-1068</t>
  </si>
  <si>
    <t>Md. Sohel Ahmed</t>
  </si>
  <si>
    <t>PDK-1069</t>
  </si>
  <si>
    <t>Rahima Islam</t>
  </si>
  <si>
    <t>PDK-1070</t>
  </si>
  <si>
    <t>Md. Anwar Hossain</t>
  </si>
  <si>
    <t>PDK-1071</t>
  </si>
  <si>
    <t>Md. Kamal Chowdhury</t>
  </si>
  <si>
    <t>PDK-1072</t>
  </si>
  <si>
    <t>PDK-1073</t>
  </si>
  <si>
    <t>PDK-1074</t>
  </si>
  <si>
    <t>Md. Shahjahan Khatun</t>
  </si>
  <si>
    <t>PDK-1075</t>
  </si>
  <si>
    <t>Md. Yousuf Sarker</t>
  </si>
  <si>
    <t>PDK-1076</t>
  </si>
  <si>
    <t>PDK-1077</t>
  </si>
  <si>
    <t>Md. Mizanur Sheikh</t>
  </si>
  <si>
    <t>PDK-1078</t>
  </si>
  <si>
    <t>Md. Habibur Khatun</t>
  </si>
  <si>
    <t>PDK-1079</t>
  </si>
  <si>
    <t>Md. Nazrul Miah</t>
  </si>
  <si>
    <t>PDK-1080</t>
  </si>
  <si>
    <t>PDK-1081</t>
  </si>
  <si>
    <t>Md. Aminul Talukder</t>
  </si>
  <si>
    <t>PDK-1082</t>
  </si>
  <si>
    <t>PDK-1083</t>
  </si>
  <si>
    <t>Md. Nazrul Sheikh</t>
  </si>
  <si>
    <t>PDK-1084</t>
  </si>
  <si>
    <t>PDK-1085</t>
  </si>
  <si>
    <t>Md. Kamal Begum</t>
  </si>
  <si>
    <t>PDK-1086</t>
  </si>
  <si>
    <t>Md. Nazrul Khatun</t>
  </si>
  <si>
    <t>PDK-1087</t>
  </si>
  <si>
    <t>Ferdousi Khatun</t>
  </si>
  <si>
    <t>PDK-1088</t>
  </si>
  <si>
    <t>Shirin Khatun</t>
  </si>
  <si>
    <t>PDK-1089</t>
  </si>
  <si>
    <t>Md. Faruk Sarker</t>
  </si>
  <si>
    <t>PDK-1090</t>
  </si>
  <si>
    <t>Salma Akter</t>
  </si>
  <si>
    <t>PDK-1091</t>
  </si>
  <si>
    <t>Md. Alamgir Ahmed</t>
  </si>
  <si>
    <t>PDK-1092</t>
  </si>
  <si>
    <t>Rokeya Miah</t>
  </si>
  <si>
    <t>PDK-1093</t>
  </si>
  <si>
    <t>Md. Ashraf Hossain</t>
  </si>
  <si>
    <t>PDK-1094</t>
  </si>
  <si>
    <t>Md. Shahjahan Molla</t>
  </si>
  <si>
    <t>PDK-1095</t>
  </si>
  <si>
    <t>Jesmin Rahman</t>
  </si>
  <si>
    <t>PDK-1096</t>
  </si>
  <si>
    <t>PDK-1097</t>
  </si>
  <si>
    <t>Md. Jahangir Molla</t>
  </si>
  <si>
    <t>PDK-1098</t>
  </si>
  <si>
    <t>Nasima Hossain</t>
  </si>
  <si>
    <t>PDK-1099</t>
  </si>
  <si>
    <t>PDK-1100</t>
  </si>
  <si>
    <t>Md. Sohel Talukder</t>
  </si>
  <si>
    <t>PDK-1101</t>
  </si>
  <si>
    <t>Md. Rezaul Rahman</t>
  </si>
  <si>
    <t>PDK-1102</t>
  </si>
  <si>
    <t>Md. Aminul Rahman</t>
  </si>
  <si>
    <t>PDK-1103</t>
  </si>
  <si>
    <t>Salma Mia</t>
  </si>
  <si>
    <t>PDK-1104</t>
  </si>
  <si>
    <t>Md. Jahangir Sheikh</t>
  </si>
  <si>
    <t>PDK-1105</t>
  </si>
  <si>
    <t>Nasima Akter</t>
  </si>
  <si>
    <t>PDK-1106</t>
  </si>
  <si>
    <t>Md. Yousuf Mia</t>
  </si>
  <si>
    <t>PDK-1107</t>
  </si>
  <si>
    <t>Kohinoor Chowdhury</t>
  </si>
  <si>
    <t>PDK-1108</t>
  </si>
  <si>
    <t>Md. Ashraf Sheikh</t>
  </si>
  <si>
    <t>PDK-1109</t>
  </si>
  <si>
    <t>Md. Aminul Molla</t>
  </si>
  <si>
    <t>PDK-1110</t>
  </si>
  <si>
    <t>PDK-1111</t>
  </si>
  <si>
    <t>Md. Sohel Sarker</t>
  </si>
  <si>
    <t>PDK-1112</t>
  </si>
  <si>
    <t>Nasima Ahmed</t>
  </si>
  <si>
    <t>PDK-1113</t>
  </si>
  <si>
    <t>Md. Mostafa Mia</t>
  </si>
  <si>
    <t>PDK-1114</t>
  </si>
  <si>
    <t>Md. Mizanur Rahman</t>
  </si>
  <si>
    <t>PDK-1115</t>
  </si>
  <si>
    <t>Md. Ashraf Talukder</t>
  </si>
  <si>
    <t>PDK-1116</t>
  </si>
  <si>
    <t>Md. Mizanur Mia</t>
  </si>
  <si>
    <t>PDK-1117</t>
  </si>
  <si>
    <t>PDK-1118</t>
  </si>
  <si>
    <t>Md. Alamgir Khatun</t>
  </si>
  <si>
    <t>PDK-1119</t>
  </si>
  <si>
    <t>Md. Mostafa Sarker</t>
  </si>
  <si>
    <t>PDK-1120</t>
  </si>
  <si>
    <t>Md. Mizanur Miah</t>
  </si>
  <si>
    <t>PDK-1121</t>
  </si>
  <si>
    <t>Shirin Begum</t>
  </si>
  <si>
    <t>PDK-1122</t>
  </si>
  <si>
    <t>Md. Delwar Ahmed</t>
  </si>
  <si>
    <t>PDK-1123</t>
  </si>
  <si>
    <t>PDK-1124</t>
  </si>
  <si>
    <t>PDK-1125</t>
  </si>
  <si>
    <t>PDK-1126</t>
  </si>
  <si>
    <t>PDK-1127</t>
  </si>
  <si>
    <t>Rahima Begum</t>
  </si>
  <si>
    <t>PDK-1128</t>
  </si>
  <si>
    <t>Md. Anwar Chowdhury</t>
  </si>
  <si>
    <t>PDK-1129</t>
  </si>
  <si>
    <t>Nasrin Sarker</t>
  </si>
  <si>
    <t>PDK-1130</t>
  </si>
  <si>
    <t>Nazma Rahman</t>
  </si>
  <si>
    <t>PDK-1131</t>
  </si>
  <si>
    <t>Nasrin Islam</t>
  </si>
  <si>
    <t>PDK-1132</t>
  </si>
  <si>
    <t>Md. Jahangir Chowdhury</t>
  </si>
  <si>
    <t>PDK-1133</t>
  </si>
  <si>
    <t>Rebeka Chowdhury</t>
  </si>
  <si>
    <t>PDK-1134</t>
  </si>
  <si>
    <t>Md. Rafiqul Ahmed</t>
  </si>
  <si>
    <t>Agriculture &amp; Climate Adaptation</t>
  </si>
  <si>
    <t>PDK-1135</t>
  </si>
  <si>
    <t>Salma Hossain</t>
  </si>
  <si>
    <t>PDK-1136</t>
  </si>
  <si>
    <t>Md. Aminul Sarker</t>
  </si>
  <si>
    <t>PDK-1137</t>
  </si>
  <si>
    <t>Md. Yousuf Chowdhury</t>
  </si>
  <si>
    <t>PDK-1138</t>
  </si>
  <si>
    <t>Md. Kamal Sheikh</t>
  </si>
  <si>
    <t>PDK-1139</t>
  </si>
  <si>
    <t>Md. Nazrul Molla</t>
  </si>
  <si>
    <t>PDK-1140</t>
  </si>
  <si>
    <t>Md. Mizanur Talukder</t>
  </si>
  <si>
    <t>PDK-1141</t>
  </si>
  <si>
    <t>PDK-1142</t>
  </si>
  <si>
    <t>Nasima Begum</t>
  </si>
  <si>
    <t>PDK-1143</t>
  </si>
  <si>
    <t>Nasrin Molla</t>
  </si>
  <si>
    <t>PDK-1144</t>
  </si>
  <si>
    <t>Deputy Director</t>
  </si>
  <si>
    <t>PDK-1145</t>
  </si>
  <si>
    <t>PDK-1146</t>
  </si>
  <si>
    <t>Md. Jahangir Talukder</t>
  </si>
  <si>
    <t>PDK-1147</t>
  </si>
  <si>
    <t>Md. Aminul Sheikh</t>
  </si>
  <si>
    <t>PDK-1148</t>
  </si>
  <si>
    <t>Md. Delwar Mia</t>
  </si>
  <si>
    <t>PDK-1149</t>
  </si>
  <si>
    <t>Nasima Mia</t>
  </si>
  <si>
    <t>PDK-1150</t>
  </si>
  <si>
    <t>Nasrin Miah</t>
  </si>
  <si>
    <t>PDK-1151</t>
  </si>
  <si>
    <t>Md. Shahidul Rahman</t>
  </si>
  <si>
    <t>PDK-1152</t>
  </si>
  <si>
    <t>PDK-1153</t>
  </si>
  <si>
    <t>PDK-1154</t>
  </si>
  <si>
    <t>Nasima Chowdhury</t>
  </si>
  <si>
    <t>PDK-1155</t>
  </si>
  <si>
    <t>Mahmuda Khatun</t>
  </si>
  <si>
    <t>PDK-1156</t>
  </si>
  <si>
    <t>PDK-1157</t>
  </si>
  <si>
    <t>PDK-1158</t>
  </si>
  <si>
    <t>Nasima Miah</t>
  </si>
  <si>
    <t>PDK-1159</t>
  </si>
  <si>
    <t>Md. Rafiqul Chowdhury</t>
  </si>
  <si>
    <t>PDK-1160</t>
  </si>
  <si>
    <t>Md. Alamgir Uddin</t>
  </si>
  <si>
    <t>Department-wise Headcount &amp; Payroll Summary</t>
  </si>
  <si>
    <t>Auto-calculated from Employee_Master (active employees only). Do not overwrite formula cells.</t>
  </si>
  <si>
    <t>Active Headcount</t>
  </si>
  <si>
    <t>Avg. Age</t>
  </si>
  <si>
    <t>Avg. Tenure (Yrs)</t>
  </si>
  <si>
    <t>Avg. Monthly Salary (BDT)</t>
  </si>
  <si>
    <t>Total Monthly Payroll (BDT)</t>
  </si>
  <si>
    <t>TOTAL</t>
  </si>
  <si>
    <t>Position</t>
  </si>
  <si>
    <t>Vacancy Open Date</t>
  </si>
  <si>
    <t>Position Filled Date</t>
  </si>
  <si>
    <t>Days to Fill</t>
  </si>
  <si>
    <t>Applicants</t>
  </si>
  <si>
    <t>Interviewed</t>
  </si>
  <si>
    <t>Hired</t>
  </si>
  <si>
    <t>Source of Hire</t>
  </si>
  <si>
    <t>Internal Referral</t>
  </si>
  <si>
    <t>NGO Job Portal</t>
  </si>
  <si>
    <t>Walk-in</t>
  </si>
  <si>
    <t>Open</t>
  </si>
  <si>
    <t>—</t>
  </si>
  <si>
    <t>University Career Fair</t>
  </si>
  <si>
    <t>Newspaper Ad</t>
  </si>
  <si>
    <t>Executive Director</t>
  </si>
  <si>
    <t>BDJobs</t>
  </si>
  <si>
    <t>Join Date</t>
  </si>
  <si>
    <t>Exit Date</t>
  </si>
  <si>
    <t>Tenure (Months)</t>
  </si>
  <si>
    <t>Exit Type</t>
  </si>
  <si>
    <t>Reason for Leaving</t>
  </si>
  <si>
    <t>PDK-EXT-2000</t>
  </si>
  <si>
    <t>Md. Ashraf Miah</t>
  </si>
  <si>
    <t>Resignation</t>
  </si>
  <si>
    <t>PDK-EXT-2001</t>
  </si>
  <si>
    <t>PDK-EXT-2002</t>
  </si>
  <si>
    <t>PDK-EXT-2003</t>
  </si>
  <si>
    <t>Md. Faruk Rahman</t>
  </si>
  <si>
    <t>PDK-EXT-2004</t>
  </si>
  <si>
    <t>Md. Anwar Uddin</t>
  </si>
  <si>
    <t>PDK-EXT-2005</t>
  </si>
  <si>
    <t>PDK-EXT-2006</t>
  </si>
  <si>
    <t>Termination</t>
  </si>
  <si>
    <t>PDK-EXT-2007</t>
  </si>
  <si>
    <t>Md. Aminul Chowdhury</t>
  </si>
  <si>
    <t>Contract End</t>
  </si>
  <si>
    <t>PDK-EXT-2008</t>
  </si>
  <si>
    <t>Rina Ahmed</t>
  </si>
  <si>
    <t>PDK-EXT-2009</t>
  </si>
  <si>
    <t>Md. Mostafa Khatun</t>
  </si>
  <si>
    <t>PDK-EXT-2010</t>
  </si>
  <si>
    <t>Md. Delwar Talukder</t>
  </si>
  <si>
    <t>PDK-EXT-2011</t>
  </si>
  <si>
    <t>Md. Aminul Hossain</t>
  </si>
  <si>
    <t>PDK-EXT-2012</t>
  </si>
  <si>
    <t>Rebeka Miah</t>
  </si>
  <si>
    <t>PDK-EXT-2013</t>
  </si>
  <si>
    <t>PDK-EXT-2014</t>
  </si>
  <si>
    <t>Rokeya Uddin</t>
  </si>
  <si>
    <t>PDK-EXT-2015</t>
  </si>
  <si>
    <t>PDK-EXT-2016</t>
  </si>
  <si>
    <t>Rebeka Rahman</t>
  </si>
  <si>
    <t>PDK-EXT-2017</t>
  </si>
  <si>
    <t>Shirin Uddin</t>
  </si>
  <si>
    <t>PDK-EXT-2018</t>
  </si>
  <si>
    <t>PDK-EXT-2019</t>
  </si>
  <si>
    <t>Md. Jahangir Rahman</t>
  </si>
  <si>
    <t>PDK-EXT-2020</t>
  </si>
  <si>
    <t>Md. Shahidul Molla</t>
  </si>
  <si>
    <t>PDK-EXT-2021</t>
  </si>
  <si>
    <t>Md. Kamal Ahmed</t>
  </si>
  <si>
    <t>PDK-EXT-2022</t>
  </si>
  <si>
    <t>PDK-EXT-2023</t>
  </si>
  <si>
    <t>Md. Alamgir Begum</t>
  </si>
  <si>
    <t>PDK-EXT-2024</t>
  </si>
  <si>
    <t>Md. Rezaul Hossain</t>
  </si>
  <si>
    <t>PDK-EXT-2025</t>
  </si>
  <si>
    <t>PDK-EXT-2026</t>
  </si>
  <si>
    <t>PDK-EXT-2027</t>
  </si>
  <si>
    <t>Md. Jahangir Khatun</t>
  </si>
  <si>
    <t>Training Program</t>
  </si>
  <si>
    <t>Category</t>
  </si>
  <si>
    <t>Start Date</t>
  </si>
  <si>
    <t>End Date</t>
  </si>
  <si>
    <t>Duration (Hours)</t>
  </si>
  <si>
    <t>Cost (BDT)</t>
  </si>
  <si>
    <t>Gender &amp; Safeguarding Sensitization</t>
  </si>
  <si>
    <t>Compliance</t>
  </si>
  <si>
    <t>MIS &amp; Data Reporting Tools</t>
  </si>
  <si>
    <t>Technical</t>
  </si>
  <si>
    <t>Community Health Worker Refresher</t>
  </si>
  <si>
    <t>Communication &amp; Report Writing</t>
  </si>
  <si>
    <t>Soft Skill</t>
  </si>
  <si>
    <t>Climate-Smart Agriculture Practices</t>
  </si>
  <si>
    <t>Leadership &amp; People Management</t>
  </si>
  <si>
    <t>Project Monitoring &amp; Evaluation Basics</t>
  </si>
  <si>
    <t>Microfinance Operations &amp; Risk Management</t>
  </si>
  <si>
    <t>Anti-Money Laundering &amp; Compliance</t>
  </si>
  <si>
    <t>Financial Management for Field Officers</t>
  </si>
  <si>
    <t>Leave Type</t>
  </si>
  <si>
    <t>Year</t>
  </si>
  <si>
    <t>Entitlement (Days)</t>
  </si>
  <si>
    <t>Leave Taken (Days)</t>
  </si>
  <si>
    <t>Leave Balance (Days)</t>
  </si>
  <si>
    <t>Earned Leave</t>
  </si>
  <si>
    <t>Casual Leave</t>
  </si>
  <si>
    <t>Maternity/Paternity Leave</t>
  </si>
  <si>
    <t>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</si>
</sst>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yyyy\-mm\-dd"/>
  </numFmts>
  <fonts count="11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i/>
      <sz val="9"/>
      <color rgb="FF595959"/>
      <name val="Arial"/>
      <charset val="1"/>
    </font>
    <font>
      <b/>
      <sz val="9"/>
      <color rgb="FF595959"/>
      <name val="Arial"/>
      <charset val="1"/>
    </font>
    <font>
      <b/>
      <sz val="18"/>
      <color rgb="FF1F4E78"/>
      <name val="Arial"/>
      <charset val="1"/>
    </font>
    <font>
      <b/>
      <sz val="11"/>
      <color rgb="FF1F4E78"/>
      <name val="Arial"/>
      <charset val="1"/>
    </font>
    <font>
      <b/>
      <sz val="10"/>
      <color rgb="FFFFFFFF"/>
      <name val="Arial"/>
      <charset val="1"/>
    </font>
    <font>
      <sz val="11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7" fillId="2" borderId="1" xfId="0" applyNumberFormat="1" applyFont="1" applyFill="1" applyBorder="1"/>
    <xf numFmtId="165" fontId="7" fillId="2" borderId="1" xfId="0" applyNumberFormat="1" applyFont="1" applyFill="1" applyBorder="1"/>
    <xf numFmtId="164" fontId="7" fillId="2" borderId="1" xfId="0" applyNumberFormat="1" applyFont="1" applyFill="1" applyBorder="1"/>
    <xf numFmtId="3" fontId="7" fillId="2" borderId="1" xfId="0" applyNumberFormat="1" applyFont="1" applyFill="1" applyBorder="1"/>
    <xf numFmtId="0" fontId="6" fillId="2" borderId="1" xfId="0" applyFont="1" applyFill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8" fillId="0" borderId="0" xfId="0" applyFont="1"/>
    <xf numFmtId="0" fontId="9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0" fillId="0" borderId="2" xfId="0" applyFont="1" applyBorder="1"/>
    <xf numFmtId="166" fontId="10" fillId="0" borderId="2" xfId="0" applyNumberFormat="1" applyFont="1" applyBorder="1"/>
    <xf numFmtId="3" fontId="10" fillId="0" borderId="2" xfId="0" applyNumberFormat="1" applyFont="1" applyBorder="1"/>
    <xf numFmtId="164" fontId="0" fillId="0" borderId="2" xfId="0" applyNumberFormat="1" applyBorder="1"/>
    <xf numFmtId="165" fontId="0" fillId="0" borderId="2" xfId="0" applyNumberFormat="1" applyBorder="1"/>
    <xf numFmtId="3" fontId="0" fillId="0" borderId="2" xfId="0" applyNumberFormat="1" applyBorder="1"/>
    <xf numFmtId="0" fontId="3" fillId="2" borderId="2" xfId="0" applyFont="1" applyFill="1" applyBorder="1"/>
    <xf numFmtId="164" fontId="3" fillId="2" borderId="2" xfId="0" applyNumberFormat="1" applyFont="1" applyFill="1" applyBorder="1"/>
    <xf numFmtId="0" fontId="0" fillId="2" borderId="2" xfId="0" applyFill="1" applyBorder="1"/>
    <xf numFmtId="3" fontId="3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Active 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Dashboard_KPIs!$C$21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Dashboard_KPIs!$B$22:$B$33</c:f>
              <c:strCache>
                <c:ptCount val="12"/>
                <c:pt idx="0">
                  <c:v>Agriculture &amp; Climate Adaptation</c:v>
                </c:pt>
                <c:pt idx="1">
                  <c:v>Education &amp; Skill Development</c:v>
                </c:pt>
                <c:pt idx="2">
                  <c:v>Finance &amp; Accounts</c:v>
                </c:pt>
                <c:pt idx="3">
                  <c:v>Financial Impact Choices (Microfinance)</c:v>
                </c:pt>
                <c:pt idx="4">
                  <c:v>Health &amp; Nutrition</c:v>
                </c:pt>
                <c:pt idx="5">
                  <c:v>Human Resources &amp; Admin</c:v>
                </c:pt>
                <c:pt idx="6">
                  <c:v>IT &amp; MIS</c:v>
                </c:pt>
                <c:pt idx="7">
                  <c:v>Market Connect</c:v>
                </c:pt>
                <c:pt idx="8">
                  <c:v>Monitoring, Evaluation &amp; Learning</c:v>
                </c:pt>
                <c:pt idx="9">
                  <c:v>Padakhep Institute of Development &amp; Management</c:v>
                </c:pt>
                <c:pt idx="10">
                  <c:v>Padakhep Printing &amp; Packaging</c:v>
                </c:pt>
                <c:pt idx="11">
                  <c:v>Social Development</c:v>
                </c:pt>
              </c:strCache>
            </c:strRef>
          </c:cat>
          <c:val>
            <c:numRef>
              <c:f>Dashboard_KPIs!$C$22:$C$33</c:f>
              <c:numCache>
                <c:formatCode>General</c:formatCode>
                <c:ptCount val="12"/>
                <c:pt idx="0">
                  <c:v>2</c:v>
                </c:pt>
                <c:pt idx="1">
                  <c:v>13</c:v>
                </c:pt>
                <c:pt idx="2">
                  <c:v>14</c:v>
                </c:pt>
                <c:pt idx="3">
                  <c:v>14</c:v>
                </c:pt>
                <c:pt idx="4">
                  <c:v>15</c:v>
                </c:pt>
                <c:pt idx="5">
                  <c:v>18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15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D-43E3-88C3-8E6D6454B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056520"/>
        <c:axId val="42676670"/>
      </c:barChart>
      <c:catAx>
        <c:axId val="9405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76670"/>
        <c:crosses val="autoZero"/>
        <c:auto val="1"/>
        <c:lblAlgn val="ctr"/>
        <c:lblOffset val="100"/>
        <c:noMultiLvlLbl val="0"/>
      </c:catAx>
      <c:valAx>
        <c:axId val="42676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0565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Gender Split (Active)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Dashboard_KPIs!$G$21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522-4EF9-97CB-6025DD44FDA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522-4EF9-97CB-6025DD44FDA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522-4EF9-97CB-6025DD44FDA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522-4EF9-97CB-6025DD44FD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Dashboard_KPIs!$F$22:$F$23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Dashboard_KPIs!$G$22:$G$23</c:f>
              <c:numCache>
                <c:formatCode>General</c:formatCode>
                <c:ptCount val="2"/>
                <c:pt idx="0">
                  <c:v>92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22-4EF9-97CB-6025DD44F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Separations by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Dashboard_KPIs!$C$37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Dashboard_KPIs!$B$38:$B$45</c:f>
              <c:strCache>
                <c:ptCount val="8"/>
                <c:pt idx="0">
                  <c:v>Better Opportunity</c:v>
                </c:pt>
                <c:pt idx="1">
                  <c:v>Contract Ended</c:v>
                </c:pt>
                <c:pt idx="2">
                  <c:v>Health Issue</c:v>
                </c:pt>
                <c:pt idx="3">
                  <c:v>Higher Studies</c:v>
                </c:pt>
                <c:pt idx="4">
                  <c:v>Performance Issue</c:v>
                </c:pt>
                <c:pt idx="5">
                  <c:v>Personal/Family Reason</c:v>
                </c:pt>
                <c:pt idx="6">
                  <c:v>Relocation</c:v>
                </c:pt>
                <c:pt idx="7">
                  <c:v>Retirement</c:v>
                </c:pt>
              </c:strCache>
            </c:strRef>
          </c:cat>
          <c:val>
            <c:numRef>
              <c:f>Dashboard_KPIs!$C$38:$C$45</c:f>
              <c:numCache>
                <c:formatCode>General</c:formatCode>
                <c:ptCount val="8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2-425B-9B88-17CA7D84B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775826"/>
        <c:axId val="62315105"/>
      </c:barChart>
      <c:catAx>
        <c:axId val="6677582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315105"/>
        <c:crosses val="autoZero"/>
        <c:auto val="1"/>
        <c:lblAlgn val="ctr"/>
        <c:lblOffset val="100"/>
        <c:noMultiLvlLbl val="0"/>
      </c:catAx>
      <c:valAx>
        <c:axId val="623151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7758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New Hires by Month (Last 12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Dashboard_KPIs!$G$37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Dashboard_KPIs!$F$38:$F$49</c:f>
              <c:strCache>
                <c:ptCount val="12"/>
                <c:pt idx="0">
                  <c:v>Oct-25</c:v>
                </c:pt>
                <c:pt idx="1">
                  <c:v>Nov-25</c:v>
                </c:pt>
                <c:pt idx="2">
                  <c:v>Dec-25</c:v>
                </c:pt>
                <c:pt idx="3">
                  <c:v>Jan-26</c:v>
                </c:pt>
                <c:pt idx="4">
                  <c:v>Feb-26</c:v>
                </c:pt>
                <c:pt idx="5">
                  <c:v>Mar-26</c:v>
                </c:pt>
                <c:pt idx="6">
                  <c:v>Apr-26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Aug-26</c:v>
                </c:pt>
                <c:pt idx="11">
                  <c:v>Sep-26</c:v>
                </c:pt>
              </c:strCache>
            </c:strRef>
          </c:cat>
          <c:val>
            <c:numRef>
              <c:f>Dashboard_KPIs!$G$38:$G$49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3-43DB-BC40-BF3FEBF69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26419"/>
        <c:axId val="13694891"/>
      </c:barChart>
      <c:catAx>
        <c:axId val="106264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94891"/>
        <c:crosses val="autoZero"/>
        <c:auto val="1"/>
        <c:lblAlgn val="ctr"/>
        <c:lblOffset val="100"/>
        <c:noMultiLvlLbl val="0"/>
      </c:catAx>
      <c:valAx>
        <c:axId val="13694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6264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71280</xdr:rowOff>
    </xdr:from>
    <xdr:to>
      <xdr:col>8</xdr:col>
      <xdr:colOff>770040</xdr:colOff>
      <xdr:row>66</xdr:row>
      <xdr:rowOff>72360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49</xdr:row>
      <xdr:rowOff>71280</xdr:rowOff>
    </xdr:from>
    <xdr:to>
      <xdr:col>12</xdr:col>
      <xdr:colOff>584280</xdr:colOff>
      <xdr:row>66</xdr:row>
      <xdr:rowOff>72360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67</xdr:row>
      <xdr:rowOff>71280</xdr:rowOff>
    </xdr:from>
    <xdr:to>
      <xdr:col>8</xdr:col>
      <xdr:colOff>770040</xdr:colOff>
      <xdr:row>84</xdr:row>
      <xdr:rowOff>72360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67</xdr:row>
      <xdr:rowOff>71280</xdr:rowOff>
    </xdr:from>
    <xdr:to>
      <xdr:col>15</xdr:col>
      <xdr:colOff>534240</xdr:colOff>
      <xdr:row>84</xdr:row>
      <xdr:rowOff>72360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mployee_Master" displayName="Employee_Master" ref="A1:Q161" totalsRowShown="0">
  <autoFilter ref="A1:Q161" xr:uid="{00000000-0009-0000-0100-000002000000}"/>
  <tableColumns count="17">
    <tableColumn id="1" xr3:uid="{00000000-0010-0000-0000-000001000000}" name="EmpID"/>
    <tableColumn id="2" xr3:uid="{00000000-0010-0000-0000-000002000000}" name="Name"/>
    <tableColumn id="3" xr3:uid="{00000000-0010-0000-0000-000003000000}" name="Gender"/>
    <tableColumn id="4" xr3:uid="{00000000-0010-0000-0000-000004000000}" name="Date of Birth"/>
    <tableColumn id="5" xr3:uid="{00000000-0010-0000-0000-000005000000}" name="Age"/>
    <tableColumn id="6" xr3:uid="{00000000-0010-0000-0000-000006000000}" name="Joining Date"/>
    <tableColumn id="7" xr3:uid="{00000000-0010-0000-0000-000007000000}" name="Tenure (Years)"/>
    <tableColumn id="8" xr3:uid="{00000000-0010-0000-0000-000008000000}" name="Department"/>
    <tableColumn id="9" xr3:uid="{00000000-0010-0000-0000-000009000000}" name="Designation"/>
    <tableColumn id="10" xr3:uid="{00000000-0010-0000-0000-00000A000000}" name="Job Level"/>
    <tableColumn id="11" xr3:uid="{00000000-0010-0000-0000-00000B000000}" name="Region/Division"/>
    <tableColumn id="12" xr3:uid="{00000000-0010-0000-0000-00000C000000}" name="Branch/Office"/>
    <tableColumn id="13" xr3:uid="{00000000-0010-0000-0000-00000D000000}" name="Employment Type"/>
    <tableColumn id="14" xr3:uid="{00000000-0010-0000-0000-00000E000000}" name="Employment Status"/>
    <tableColumn id="15" xr3:uid="{00000000-0010-0000-0000-00000F000000}" name="Education Level"/>
    <tableColumn id="16" xr3:uid="{00000000-0010-0000-0000-000010000000}" name="Marital Status"/>
    <tableColumn id="17" xr3:uid="{00000000-0010-0000-0000-000011000000}" name="Monthly Gross Salary (BDT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ecruitment" displayName="Recruitment" ref="A1:J36" totalsRowShown="0">
  <autoFilter ref="A1:J36" xr:uid="{00000000-0009-0000-0100-000004000000}"/>
  <tableColumns count="10">
    <tableColumn id="1" xr3:uid="{00000000-0010-0000-0100-000001000000}" name="Position"/>
    <tableColumn id="2" xr3:uid="{00000000-0010-0000-0100-000002000000}" name="Department"/>
    <tableColumn id="3" xr3:uid="{00000000-0010-0000-0100-000003000000}" name="Region"/>
    <tableColumn id="4" xr3:uid="{00000000-0010-0000-0100-000004000000}" name="Vacancy Open Date"/>
    <tableColumn id="5" xr3:uid="{00000000-0010-0000-0100-000005000000}" name="Position Filled Date"/>
    <tableColumn id="6" xr3:uid="{00000000-0010-0000-0100-000006000000}" name="Days to Fill"/>
    <tableColumn id="7" xr3:uid="{00000000-0010-0000-0100-000007000000}" name="Applicants"/>
    <tableColumn id="8" xr3:uid="{00000000-0010-0000-0100-000008000000}" name="Interviewed"/>
    <tableColumn id="9" xr3:uid="{00000000-0010-0000-0100-000009000000}" name="Hired"/>
    <tableColumn id="10" xr3:uid="{00000000-0010-0000-0100-00000A000000}" name="Source of Hir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Attrition" displayName="Attrition" ref="A1:H29" totalsRowShown="0">
  <autoFilter ref="A1:H29" xr:uid="{00000000-0009-0000-0100-000001000000}"/>
  <tableColumns count="8">
    <tableColumn id="1" xr3:uid="{00000000-0010-0000-0200-000001000000}" name="EmpID"/>
    <tableColumn id="2" xr3:uid="{00000000-0010-0000-0200-000002000000}" name="Name"/>
    <tableColumn id="3" xr3:uid="{00000000-0010-0000-0200-000003000000}" name="Department"/>
    <tableColumn id="4" xr3:uid="{00000000-0010-0000-0200-000004000000}" name="Join Date"/>
    <tableColumn id="5" xr3:uid="{00000000-0010-0000-0200-000005000000}" name="Exit Date"/>
    <tableColumn id="6" xr3:uid="{00000000-0010-0000-0200-000006000000}" name="Tenure (Months)"/>
    <tableColumn id="7" xr3:uid="{00000000-0010-0000-0200-000007000000}" name="Exit Type"/>
    <tableColumn id="8" xr3:uid="{00000000-0010-0000-0200-000008000000}" name="Reason for Leaving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raining" displayName="Training" ref="A1:I71" totalsRowShown="0">
  <autoFilter ref="A1:I71" xr:uid="{00000000-0009-0000-0100-000005000000}"/>
  <tableColumns count="9">
    <tableColumn id="1" xr3:uid="{00000000-0010-0000-0300-000001000000}" name="EmpID"/>
    <tableColumn id="2" xr3:uid="{00000000-0010-0000-0300-000002000000}" name="Name"/>
    <tableColumn id="3" xr3:uid="{00000000-0010-0000-0300-000003000000}" name="Department"/>
    <tableColumn id="4" xr3:uid="{00000000-0010-0000-0300-000004000000}" name="Training Program"/>
    <tableColumn id="5" xr3:uid="{00000000-0010-0000-0300-000005000000}" name="Category"/>
    <tableColumn id="6" xr3:uid="{00000000-0010-0000-0300-000006000000}" name="Start Date"/>
    <tableColumn id="7" xr3:uid="{00000000-0010-0000-0300-000007000000}" name="End Date"/>
    <tableColumn id="8" xr3:uid="{00000000-0010-0000-0300-000008000000}" name="Duration (Hours)"/>
    <tableColumn id="9" xr3:uid="{00000000-0010-0000-0300-000009000000}" name="Cost (BDT)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Leave" displayName="Leave" ref="A1:H91" totalsRowShown="0">
  <autoFilter ref="A1:H91" xr:uid="{00000000-0009-0000-0100-000003000000}"/>
  <tableColumns count="8">
    <tableColumn id="1" xr3:uid="{00000000-0010-0000-0400-000001000000}" name="EmpID"/>
    <tableColumn id="2" xr3:uid="{00000000-0010-0000-0400-000002000000}" name="Name"/>
    <tableColumn id="3" xr3:uid="{00000000-0010-0000-0400-000003000000}" name="Department"/>
    <tableColumn id="4" xr3:uid="{00000000-0010-0000-0400-000004000000}" name="Leave Type"/>
    <tableColumn id="5" xr3:uid="{00000000-0010-0000-0400-000005000000}" name="Year"/>
    <tableColumn id="6" xr3:uid="{00000000-0010-0000-0400-000006000000}" name="Entitlement (Days)"/>
    <tableColumn id="7" xr3:uid="{00000000-0010-0000-0400-000007000000}" name="Leave Taken (Days)"/>
    <tableColumn id="8" xr3:uid="{00000000-0010-0000-0400-000008000000}" name="Leave Balance (Days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showGridLines="0" topLeftCell="A13" zoomScaleNormal="100" workbookViewId="0"/>
  </sheetViews>
  <sheetFormatPr defaultColWidth="8.6328125" defaultRowHeight="14.5" x14ac:dyDescent="0.35"/>
  <cols>
    <col min="1" max="1" width="3" customWidth="1"/>
    <col min="2" max="2" width="32" customWidth="1"/>
    <col min="3" max="3" width="100" customWidth="1"/>
  </cols>
  <sheetData>
    <row r="2" spans="2:3" ht="18" x14ac:dyDescent="0.4">
      <c r="B2" s="6" t="s">
        <v>0</v>
      </c>
    </row>
    <row r="3" spans="2:3" x14ac:dyDescent="0.35">
      <c r="B3" s="7" t="s">
        <v>1</v>
      </c>
    </row>
    <row r="5" spans="2:3" ht="27.75" customHeight="1" x14ac:dyDescent="0.35">
      <c r="B5" s="8" t="s">
        <v>2</v>
      </c>
    </row>
    <row r="6" spans="2:3" ht="27.75" customHeight="1" x14ac:dyDescent="0.35">
      <c r="B6" s="9" t="s">
        <v>3</v>
      </c>
      <c r="C6" s="10" t="s">
        <v>4</v>
      </c>
    </row>
    <row r="7" spans="2:3" ht="27.75" customHeight="1" x14ac:dyDescent="0.35">
      <c r="B7" s="9" t="s">
        <v>5</v>
      </c>
      <c r="C7" s="10" t="s">
        <v>6</v>
      </c>
    </row>
    <row r="8" spans="2:3" ht="27.75" customHeight="1" x14ac:dyDescent="0.35">
      <c r="B8" s="9" t="s">
        <v>7</v>
      </c>
      <c r="C8" s="10" t="s">
        <v>8</v>
      </c>
    </row>
    <row r="9" spans="2:3" ht="27.75" customHeight="1" x14ac:dyDescent="0.35">
      <c r="B9" s="9" t="s">
        <v>9</v>
      </c>
      <c r="C9" s="10" t="s">
        <v>10</v>
      </c>
    </row>
    <row r="10" spans="2:3" ht="27.75" customHeight="1" x14ac:dyDescent="0.35">
      <c r="B10" s="9" t="s">
        <v>11</v>
      </c>
      <c r="C10" s="10" t="s">
        <v>12</v>
      </c>
    </row>
    <row r="11" spans="2:3" ht="27.75" customHeight="1" x14ac:dyDescent="0.35">
      <c r="B11" s="9" t="s">
        <v>13</v>
      </c>
      <c r="C11" s="10" t="s">
        <v>14</v>
      </c>
    </row>
    <row r="12" spans="2:3" ht="27.75" customHeight="1" x14ac:dyDescent="0.35">
      <c r="B12" s="9" t="s">
        <v>15</v>
      </c>
      <c r="C12" s="10" t="s">
        <v>16</v>
      </c>
    </row>
    <row r="13" spans="2:3" ht="27.75" customHeight="1" x14ac:dyDescent="0.35">
      <c r="B13" s="9"/>
      <c r="C13" s="10"/>
    </row>
    <row r="14" spans="2:3" ht="27.75" customHeight="1" x14ac:dyDescent="0.35">
      <c r="B14" s="8" t="s">
        <v>17</v>
      </c>
    </row>
    <row r="15" spans="2:3" ht="27.75" customHeight="1" x14ac:dyDescent="0.35">
      <c r="B15" s="9"/>
      <c r="C15" s="10" t="s">
        <v>18</v>
      </c>
    </row>
    <row r="16" spans="2:3" ht="27.75" customHeight="1" x14ac:dyDescent="0.35">
      <c r="B16" s="8" t="s">
        <v>19</v>
      </c>
    </row>
    <row r="17" spans="2:3" ht="27.75" customHeight="1" x14ac:dyDescent="0.35">
      <c r="B17" s="8" t="s">
        <v>20</v>
      </c>
      <c r="C17" s="10" t="s">
        <v>21</v>
      </c>
    </row>
    <row r="18" spans="2:3" ht="27.75" customHeight="1" x14ac:dyDescent="0.35">
      <c r="B18" s="8" t="s">
        <v>22</v>
      </c>
      <c r="C18" s="10" t="s">
        <v>23</v>
      </c>
    </row>
    <row r="19" spans="2:3" ht="27.75" customHeight="1" x14ac:dyDescent="0.35">
      <c r="B19" s="8" t="s">
        <v>24</v>
      </c>
      <c r="C19" s="10" t="s">
        <v>25</v>
      </c>
    </row>
    <row r="20" spans="2:3" ht="27.75" customHeight="1" x14ac:dyDescent="0.35">
      <c r="B20" s="8" t="s">
        <v>26</v>
      </c>
      <c r="C20" s="10" t="s">
        <v>27</v>
      </c>
    </row>
    <row r="21" spans="2:3" ht="27.75" customHeight="1" x14ac:dyDescent="0.35">
      <c r="B21" s="8" t="s">
        <v>28</v>
      </c>
      <c r="C21" s="10" t="s">
        <v>29</v>
      </c>
    </row>
    <row r="22" spans="2:3" ht="27.75" customHeight="1" x14ac:dyDescent="0.35"/>
    <row r="23" spans="2:3" x14ac:dyDescent="0.35">
      <c r="B23" s="7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49"/>
  <sheetViews>
    <sheetView showGridLines="0" tabSelected="1" topLeftCell="A61" zoomScaleNormal="100" workbookViewId="0">
      <selection activeCell="F37" sqref="F37"/>
    </sheetView>
  </sheetViews>
  <sheetFormatPr defaultColWidth="8.6328125" defaultRowHeight="14.5" x14ac:dyDescent="0.35"/>
  <cols>
    <col min="1" max="1" width="3" customWidth="1"/>
    <col min="2" max="2" width="22" customWidth="1"/>
    <col min="3" max="3" width="14" customWidth="1"/>
    <col min="4" max="5" width="3" customWidth="1"/>
    <col min="6" max="6" width="22" customWidth="1"/>
    <col min="7" max="7" width="14" customWidth="1"/>
    <col min="8" max="8" width="3" customWidth="1"/>
    <col min="9" max="9" width="20" customWidth="1"/>
    <col min="10" max="10" width="14" customWidth="1"/>
    <col min="11" max="11" width="3" customWidth="1"/>
    <col min="12" max="12" width="16" customWidth="1"/>
    <col min="13" max="13" width="14" customWidth="1"/>
  </cols>
  <sheetData>
    <row r="2" spans="2:12" ht="18" x14ac:dyDescent="0.4">
      <c r="B2" s="6" t="s">
        <v>31</v>
      </c>
    </row>
    <row r="3" spans="2:12" x14ac:dyDescent="0.35">
      <c r="B3" s="11" t="s">
        <v>32</v>
      </c>
    </row>
    <row r="6" spans="2:12" ht="22.4" customHeight="1" x14ac:dyDescent="0.35">
      <c r="B6" s="5" t="s">
        <v>33</v>
      </c>
      <c r="C6" s="5"/>
      <c r="E6" s="5" t="s">
        <v>34</v>
      </c>
      <c r="F6" s="5"/>
      <c r="H6" s="5" t="s">
        <v>35</v>
      </c>
      <c r="I6" s="5"/>
      <c r="K6" s="5" t="s">
        <v>36</v>
      </c>
      <c r="L6" s="5"/>
    </row>
    <row r="7" spans="2:12" x14ac:dyDescent="0.35">
      <c r="B7" s="4">
        <f>COUNTIFS(Employee_Master[Employment Status],"Active")</f>
        <v>143</v>
      </c>
      <c r="C7" s="4"/>
      <c r="E7" s="4">
        <f>COUNTA(Employee_Master[EmpID])</f>
        <v>160</v>
      </c>
      <c r="F7" s="4"/>
      <c r="H7" s="3">
        <f>COUNTIFS(Employee_Master[Employment Status],"Active",Employee_Master[Gender],"Female")/COUNTIFS(Employee_Master[Employment Status],"Active")</f>
        <v>0.35664335664335667</v>
      </c>
      <c r="I7" s="3"/>
      <c r="K7" s="2">
        <f ca="1">AVERAGEIFS(Employee_Master[Age],Employee_Master[Employment Status],"Active")</f>
        <v>40.489510489510486</v>
      </c>
      <c r="L7" s="2"/>
    </row>
    <row r="8" spans="2:12" x14ac:dyDescent="0.35">
      <c r="B8" s="4"/>
      <c r="C8" s="4"/>
      <c r="E8" s="4"/>
      <c r="F8" s="4"/>
      <c r="H8" s="3"/>
      <c r="I8" s="3"/>
      <c r="K8" s="2"/>
      <c r="L8" s="2"/>
    </row>
    <row r="10" spans="2:12" ht="22.4" customHeight="1" x14ac:dyDescent="0.35">
      <c r="B10" s="5" t="s">
        <v>37</v>
      </c>
      <c r="C10" s="5"/>
      <c r="E10" s="5" t="s">
        <v>38</v>
      </c>
      <c r="F10" s="5"/>
      <c r="H10" s="5" t="s">
        <v>39</v>
      </c>
      <c r="I10" s="5"/>
      <c r="K10" s="5" t="s">
        <v>40</v>
      </c>
      <c r="L10" s="5"/>
    </row>
    <row r="11" spans="2:12" x14ac:dyDescent="0.35">
      <c r="B11" s="2">
        <f ca="1">AVERAGEIFS(Employee_Master[Tenure (Years)],Employee_Master[Employment Status],"Active")</f>
        <v>8.8741258741258733</v>
      </c>
      <c r="C11" s="2"/>
      <c r="E11" s="4">
        <f ca="1">COUNTIFS(Employee_Master[Joining Date],"&gt;="&amp;EDATE(TODAY(),-12))</f>
        <v>12</v>
      </c>
      <c r="F11" s="4"/>
      <c r="H11" s="4">
        <f ca="1">COUNTIFS(Attrition[Exit Date],"&gt;="&amp;EDATE(TODAY(),-12))</f>
        <v>4</v>
      </c>
      <c r="I11" s="4"/>
      <c r="K11" s="3">
        <f ca="1">IFERROR(COUNTIFS(Attrition[Exit Date],"&gt;="&amp;EDATE(TODAY(),-12))/COUNTIFS(Employee_Master[Employment Status],"Active"),0)</f>
        <v>2.7972027972027972E-2</v>
      </c>
      <c r="L11" s="3"/>
    </row>
    <row r="12" spans="2:12" x14ac:dyDescent="0.35">
      <c r="B12" s="2"/>
      <c r="C12" s="2"/>
      <c r="E12" s="4"/>
      <c r="F12" s="4"/>
      <c r="H12" s="4"/>
      <c r="I12" s="4"/>
      <c r="K12" s="3"/>
      <c r="L12" s="3"/>
    </row>
    <row r="14" spans="2:12" ht="22.4" customHeight="1" x14ac:dyDescent="0.35">
      <c r="B14" s="5" t="s">
        <v>41</v>
      </c>
      <c r="C14" s="5"/>
      <c r="E14" s="5" t="s">
        <v>42</v>
      </c>
      <c r="F14" s="5"/>
      <c r="H14" s="5" t="s">
        <v>43</v>
      </c>
      <c r="I14" s="5"/>
      <c r="K14" s="5" t="s">
        <v>44</v>
      </c>
      <c r="L14" s="5"/>
    </row>
    <row r="15" spans="2:12" x14ac:dyDescent="0.35">
      <c r="B15" s="4">
        <f>COUNTIF(Recruitment[Position Filled Date],"Open")</f>
        <v>5</v>
      </c>
      <c r="C15" s="4"/>
      <c r="E15" s="1">
        <f>IFERROR(AVERAGE(Recruitment[Days to Fill]),0)</f>
        <v>42.466666666666669</v>
      </c>
      <c r="F15" s="1"/>
      <c r="H15" s="4">
        <f>COUNTA(Training[EmpID])</f>
        <v>70</v>
      </c>
      <c r="I15" s="4"/>
      <c r="K15" s="4">
        <f>SUM(Training[Cost (BDT)])</f>
        <v>462035</v>
      </c>
      <c r="L15" s="4"/>
    </row>
    <row r="16" spans="2:12" x14ac:dyDescent="0.35">
      <c r="B16" s="4"/>
      <c r="C16" s="4"/>
      <c r="E16" s="1"/>
      <c r="F16" s="1"/>
      <c r="H16" s="4"/>
      <c r="I16" s="4"/>
      <c r="K16" s="4"/>
      <c r="L16" s="4"/>
    </row>
    <row r="20" spans="2:13" x14ac:dyDescent="0.35">
      <c r="B20" s="12" t="s">
        <v>45</v>
      </c>
      <c r="F20" s="12" t="s">
        <v>46</v>
      </c>
      <c r="I20" s="12" t="s">
        <v>47</v>
      </c>
      <c r="L20" s="12" t="s">
        <v>48</v>
      </c>
    </row>
    <row r="21" spans="2:13" x14ac:dyDescent="0.35">
      <c r="B21" s="13" t="s">
        <v>49</v>
      </c>
      <c r="C21" s="13" t="s">
        <v>50</v>
      </c>
      <c r="F21" s="13" t="s">
        <v>51</v>
      </c>
      <c r="G21" s="13" t="s">
        <v>50</v>
      </c>
      <c r="I21" s="13" t="s">
        <v>52</v>
      </c>
      <c r="J21" s="13" t="s">
        <v>50</v>
      </c>
      <c r="L21" s="13" t="s">
        <v>53</v>
      </c>
      <c r="M21" s="13" t="s">
        <v>50</v>
      </c>
    </row>
    <row r="22" spans="2:13" x14ac:dyDescent="0.35">
      <c r="B22" s="14" t="str">
        <f>Dept_Payroll_Summary!B6</f>
        <v>Agriculture &amp; Climate Adaptation</v>
      </c>
      <c r="C22" s="14">
        <f>Dept_Payroll_Summary!C6</f>
        <v>2</v>
      </c>
      <c r="F22" s="14" t="s">
        <v>54</v>
      </c>
      <c r="G22" s="14">
        <f>COUNTIFS(Employee_Master[Employment Status],"Active",Employee_Master[Gender],"Male")</f>
        <v>92</v>
      </c>
      <c r="I22" s="14" t="s">
        <v>55</v>
      </c>
      <c r="J22" s="14">
        <f>COUNTIFS(Employee_Master[Employment Status],"Active",Employee_Master[Employment Type],"Permanent")</f>
        <v>93</v>
      </c>
      <c r="L22" s="14" t="s">
        <v>56</v>
      </c>
      <c r="M22" s="14">
        <f>COUNTIFS(Employee_Master[Employment Status],"Active",Employee_Master[Region/Division],"Barishal")</f>
        <v>19</v>
      </c>
    </row>
    <row r="23" spans="2:13" x14ac:dyDescent="0.35">
      <c r="B23" s="14" t="str">
        <f>Dept_Payroll_Summary!B7</f>
        <v>Education &amp; Skill Development</v>
      </c>
      <c r="C23" s="14">
        <f>Dept_Payroll_Summary!C7</f>
        <v>13</v>
      </c>
      <c r="F23" s="14" t="s">
        <v>57</v>
      </c>
      <c r="G23" s="14">
        <f>COUNTIFS(Employee_Master[Employment Status],"Active",Employee_Master[Gender],"Female")</f>
        <v>51</v>
      </c>
      <c r="I23" s="14" t="s">
        <v>58</v>
      </c>
      <c r="J23" s="14">
        <f>COUNTIFS(Employee_Master[Employment Status],"Active",Employee_Master[Employment Type],"Contractual")</f>
        <v>41</v>
      </c>
      <c r="L23" s="14" t="s">
        <v>59</v>
      </c>
      <c r="M23" s="14">
        <f>COUNTIFS(Employee_Master[Employment Status],"Active",Employee_Master[Region/Division],"Chattogram")</f>
        <v>23</v>
      </c>
    </row>
    <row r="24" spans="2:13" x14ac:dyDescent="0.35">
      <c r="B24" s="14" t="str">
        <f>Dept_Payroll_Summary!B8</f>
        <v>Finance &amp; Accounts</v>
      </c>
      <c r="C24" s="14">
        <f>Dept_Payroll_Summary!C8</f>
        <v>14</v>
      </c>
      <c r="I24" s="14" t="s">
        <v>60</v>
      </c>
      <c r="J24" s="14">
        <f>COUNTIFS(Employee_Master[Employment Status],"Active",Employee_Master[Employment Type],"Probationary")</f>
        <v>9</v>
      </c>
      <c r="L24" s="14" t="s">
        <v>61</v>
      </c>
      <c r="M24" s="14">
        <f>COUNTIFS(Employee_Master[Employment Status],"Active",Employee_Master[Region/Division],"Dhaka")</f>
        <v>10</v>
      </c>
    </row>
    <row r="25" spans="2:13" x14ac:dyDescent="0.35">
      <c r="B25" s="14" t="str">
        <f>Dept_Payroll_Summary!B9</f>
        <v>Financial Impact Choices (Microfinance)</v>
      </c>
      <c r="C25" s="14">
        <f>Dept_Payroll_Summary!C9</f>
        <v>14</v>
      </c>
      <c r="L25" s="14" t="s">
        <v>62</v>
      </c>
      <c r="M25" s="14">
        <f>COUNTIFS(Employee_Master[Employment Status],"Active",Employee_Master[Region/Division],"Khulna")</f>
        <v>19</v>
      </c>
    </row>
    <row r="26" spans="2:13" x14ac:dyDescent="0.35">
      <c r="B26" s="14" t="str">
        <f>Dept_Payroll_Summary!B10</f>
        <v>Health &amp; Nutrition</v>
      </c>
      <c r="C26" s="14">
        <f>Dept_Payroll_Summary!C10</f>
        <v>15</v>
      </c>
      <c r="L26" s="14" t="s">
        <v>63</v>
      </c>
      <c r="M26" s="14">
        <f>COUNTIFS(Employee_Master[Employment Status],"Active",Employee_Master[Region/Division],"Mymensingh")</f>
        <v>27</v>
      </c>
    </row>
    <row r="27" spans="2:13" x14ac:dyDescent="0.35">
      <c r="B27" s="14" t="str">
        <f>Dept_Payroll_Summary!B11</f>
        <v>Human Resources &amp; Admin</v>
      </c>
      <c r="C27" s="14">
        <f>Dept_Payroll_Summary!C11</f>
        <v>18</v>
      </c>
      <c r="L27" s="14" t="s">
        <v>64</v>
      </c>
      <c r="M27" s="14">
        <f>COUNTIFS(Employee_Master[Employment Status],"Active",Employee_Master[Region/Division],"Rajshahi")</f>
        <v>10</v>
      </c>
    </row>
    <row r="28" spans="2:13" x14ac:dyDescent="0.35">
      <c r="B28" s="14" t="str">
        <f>Dept_Payroll_Summary!B12</f>
        <v>IT &amp; MIS</v>
      </c>
      <c r="C28" s="14">
        <f>Dept_Payroll_Summary!C12</f>
        <v>12</v>
      </c>
      <c r="L28" s="14" t="s">
        <v>65</v>
      </c>
      <c r="M28" s="14">
        <f>COUNTIFS(Employee_Master[Employment Status],"Active",Employee_Master[Region/Division],"Rangpur")</f>
        <v>13</v>
      </c>
    </row>
    <row r="29" spans="2:13" x14ac:dyDescent="0.35">
      <c r="B29" s="14" t="str">
        <f>Dept_Payroll_Summary!B13</f>
        <v>Market Connect</v>
      </c>
      <c r="C29" s="14">
        <f>Dept_Payroll_Summary!C13</f>
        <v>11</v>
      </c>
      <c r="L29" s="14" t="s">
        <v>66</v>
      </c>
      <c r="M29" s="14">
        <f>COUNTIFS(Employee_Master[Employment Status],"Active",Employee_Master[Region/Division],"Sylhet")</f>
        <v>22</v>
      </c>
    </row>
    <row r="30" spans="2:13" x14ac:dyDescent="0.35">
      <c r="B30" s="14" t="str">
        <f>Dept_Payroll_Summary!B14</f>
        <v>Monitoring, Evaluation &amp; Learning</v>
      </c>
      <c r="C30" s="14">
        <f>Dept_Payroll_Summary!C14</f>
        <v>12</v>
      </c>
    </row>
    <row r="31" spans="2:13" x14ac:dyDescent="0.35">
      <c r="B31" s="14" t="str">
        <f>Dept_Payroll_Summary!B15</f>
        <v>Padakhep Institute of Development &amp; Management</v>
      </c>
      <c r="C31" s="14">
        <f>Dept_Payroll_Summary!C15</f>
        <v>15</v>
      </c>
    </row>
    <row r="32" spans="2:13" x14ac:dyDescent="0.35">
      <c r="B32" s="14" t="str">
        <f>Dept_Payroll_Summary!B16</f>
        <v>Padakhep Printing &amp; Packaging</v>
      </c>
      <c r="C32" s="14">
        <f>Dept_Payroll_Summary!C16</f>
        <v>8</v>
      </c>
    </row>
    <row r="33" spans="2:7" x14ac:dyDescent="0.35">
      <c r="B33" s="14" t="str">
        <f>Dept_Payroll_Summary!B17</f>
        <v>Social Development</v>
      </c>
      <c r="C33" s="14">
        <f>Dept_Payroll_Summary!C17</f>
        <v>9</v>
      </c>
    </row>
    <row r="36" spans="2:7" x14ac:dyDescent="0.35">
      <c r="B36" s="12" t="s">
        <v>67</v>
      </c>
      <c r="F36" s="12" t="s">
        <v>68</v>
      </c>
    </row>
    <row r="37" spans="2:7" x14ac:dyDescent="0.35">
      <c r="B37" s="13" t="s">
        <v>69</v>
      </c>
      <c r="C37" s="13" t="s">
        <v>70</v>
      </c>
      <c r="F37" s="13" t="s">
        <v>71</v>
      </c>
      <c r="G37" s="13" t="s">
        <v>72</v>
      </c>
    </row>
    <row r="38" spans="2:7" x14ac:dyDescent="0.35">
      <c r="B38" s="14" t="s">
        <v>73</v>
      </c>
      <c r="C38" s="14">
        <f>COUNTIF(Attrition[Reason for Leaving],B38)</f>
        <v>4</v>
      </c>
      <c r="F38" s="14" t="str">
        <f ca="1">TEXT(EDATE(TODAY(),-11),"mmm-yy")</f>
        <v>Oct-25</v>
      </c>
      <c r="G38" s="14">
        <f ca="1">SUMPRODUCT((TEXT(Employee_Master[Joining Date],"mmm-yy")=F38)*1)</f>
        <v>1</v>
      </c>
    </row>
    <row r="39" spans="2:7" x14ac:dyDescent="0.35">
      <c r="B39" s="14" t="s">
        <v>74</v>
      </c>
      <c r="C39" s="14">
        <f>COUNTIF(Attrition[Reason for Leaving],B39)</f>
        <v>2</v>
      </c>
      <c r="F39" s="14" t="str">
        <f ca="1">TEXT(EDATE(TODAY(),-10),"mmm-yy")</f>
        <v>Nov-25</v>
      </c>
      <c r="G39" s="14">
        <f ca="1">SUMPRODUCT((TEXT(Employee_Master[Joining Date],"mmm-yy")=F39)*1)</f>
        <v>1</v>
      </c>
    </row>
    <row r="40" spans="2:7" x14ac:dyDescent="0.35">
      <c r="B40" s="14" t="s">
        <v>75</v>
      </c>
      <c r="C40" s="14">
        <f>COUNTIF(Attrition[Reason for Leaving],B40)</f>
        <v>4</v>
      </c>
      <c r="F40" s="14" t="str">
        <f ca="1">TEXT(EDATE(TODAY(),-9),"mmm-yy")</f>
        <v>Dec-25</v>
      </c>
      <c r="G40" s="14">
        <f ca="1">SUMPRODUCT((TEXT(Employee_Master[Joining Date],"mmm-yy")=F40)*1)</f>
        <v>0</v>
      </c>
    </row>
    <row r="41" spans="2:7" x14ac:dyDescent="0.35">
      <c r="B41" s="14" t="s">
        <v>76</v>
      </c>
      <c r="C41" s="14">
        <f>COUNTIF(Attrition[Reason for Leaving],B41)</f>
        <v>3</v>
      </c>
      <c r="F41" s="14" t="str">
        <f ca="1">TEXT(EDATE(TODAY(),-8),"mmm-yy")</f>
        <v>Jan-26</v>
      </c>
      <c r="G41" s="14">
        <f ca="1">SUMPRODUCT((TEXT(Employee_Master[Joining Date],"mmm-yy")=F41)*1)</f>
        <v>2</v>
      </c>
    </row>
    <row r="42" spans="2:7" x14ac:dyDescent="0.35">
      <c r="B42" s="14" t="s">
        <v>77</v>
      </c>
      <c r="C42" s="14">
        <f>COUNTIF(Attrition[Reason for Leaving],B42)</f>
        <v>6</v>
      </c>
      <c r="F42" s="14" t="str">
        <f ca="1">TEXT(EDATE(TODAY(),-7),"mmm-yy")</f>
        <v>Feb-26</v>
      </c>
      <c r="G42" s="14">
        <f ca="1">SUMPRODUCT((TEXT(Employee_Master[Joining Date],"mmm-yy")=F42)*1)</f>
        <v>2</v>
      </c>
    </row>
    <row r="43" spans="2:7" x14ac:dyDescent="0.35">
      <c r="B43" s="14" t="s">
        <v>78</v>
      </c>
      <c r="C43" s="14">
        <f>COUNTIF(Attrition[Reason for Leaving],B43)</f>
        <v>4</v>
      </c>
      <c r="F43" s="14" t="str">
        <f ca="1">TEXT(EDATE(TODAY(),-6),"mmm-yy")</f>
        <v>Mar-26</v>
      </c>
      <c r="G43" s="14">
        <f ca="1">SUMPRODUCT((TEXT(Employee_Master[Joining Date],"mmm-yy")=F43)*1)</f>
        <v>1</v>
      </c>
    </row>
    <row r="44" spans="2:7" x14ac:dyDescent="0.35">
      <c r="B44" s="14" t="s">
        <v>79</v>
      </c>
      <c r="C44" s="14">
        <f>COUNTIF(Attrition[Reason for Leaving],B44)</f>
        <v>4</v>
      </c>
      <c r="F44" s="14" t="str">
        <f ca="1">TEXT(EDATE(TODAY(),-5),"mmm-yy")</f>
        <v>Apr-26</v>
      </c>
      <c r="G44" s="14">
        <f ca="1">SUMPRODUCT((TEXT(Employee_Master[Joining Date],"mmm-yy")=F44)*1)</f>
        <v>3</v>
      </c>
    </row>
    <row r="45" spans="2:7" x14ac:dyDescent="0.35">
      <c r="B45" s="14" t="s">
        <v>80</v>
      </c>
      <c r="C45" s="14">
        <f>COUNTIF(Attrition[Reason for Leaving],B45)</f>
        <v>1</v>
      </c>
      <c r="F45" s="14" t="str">
        <f ca="1">TEXT(EDATE(TODAY(),-4),"mmm-yy")</f>
        <v>May-26</v>
      </c>
      <c r="G45" s="14">
        <f ca="1">SUMPRODUCT((TEXT(Employee_Master[Joining Date],"mmm-yy")=F45)*1)</f>
        <v>1</v>
      </c>
    </row>
    <row r="46" spans="2:7" x14ac:dyDescent="0.35">
      <c r="F46" s="14" t="str">
        <f ca="1">TEXT(EDATE(TODAY(),-3),"mmm-yy")</f>
        <v>Jun-26</v>
      </c>
      <c r="G46" s="14">
        <f ca="1">SUMPRODUCT((TEXT(Employee_Master[Joining Date],"mmm-yy")=F46)*1)</f>
        <v>0</v>
      </c>
    </row>
    <row r="47" spans="2:7" x14ac:dyDescent="0.35">
      <c r="F47" s="14" t="str">
        <f ca="1">TEXT(EDATE(TODAY(),-2),"mmm-yy")</f>
        <v>Jul-26</v>
      </c>
      <c r="G47" s="14">
        <f ca="1">SUMPRODUCT((TEXT(Employee_Master[Joining Date],"mmm-yy")=F47)*1)</f>
        <v>0</v>
      </c>
    </row>
    <row r="48" spans="2:7" x14ac:dyDescent="0.35">
      <c r="F48" s="14" t="str">
        <f ca="1">TEXT(EDATE(TODAY(),-1),"mmm-yy")</f>
        <v>Aug-26</v>
      </c>
      <c r="G48" s="14">
        <f ca="1">SUMPRODUCT((TEXT(Employee_Master[Joining Date],"mmm-yy")=F48)*1)</f>
        <v>0</v>
      </c>
    </row>
    <row r="49" spans="6:7" x14ac:dyDescent="0.35">
      <c r="F49" s="14" t="str">
        <f ca="1">TEXT(EDATE(TODAY(),0),"mmm-yy")</f>
        <v>Sep-26</v>
      </c>
      <c r="G49" s="14">
        <f ca="1">SUMPRODUCT((TEXT(Employee_Master[Joining Date],"mmm-yy")=F49)*1)</f>
        <v>0</v>
      </c>
    </row>
  </sheetData>
  <mergeCells count="24">
    <mergeCell ref="B14:C14"/>
    <mergeCell ref="E14:F14"/>
    <mergeCell ref="H14:I14"/>
    <mergeCell ref="K14:L14"/>
    <mergeCell ref="B15:C16"/>
    <mergeCell ref="E15:F16"/>
    <mergeCell ref="H15:I16"/>
    <mergeCell ref="K15:L16"/>
    <mergeCell ref="B10:C10"/>
    <mergeCell ref="E10:F10"/>
    <mergeCell ref="H10:I10"/>
    <mergeCell ref="K10:L10"/>
    <mergeCell ref="B11:C12"/>
    <mergeCell ref="E11:F12"/>
    <mergeCell ref="H11:I12"/>
    <mergeCell ref="K11:L12"/>
    <mergeCell ref="B6:C6"/>
    <mergeCell ref="E6:F6"/>
    <mergeCell ref="H6:I6"/>
    <mergeCell ref="K6:L6"/>
    <mergeCell ref="B7:C8"/>
    <mergeCell ref="E7:F8"/>
    <mergeCell ref="H7:I8"/>
    <mergeCell ref="K7:L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1"/>
  <sheetViews>
    <sheetView zoomScaleNormal="100" workbookViewId="0">
      <pane ySplit="1" topLeftCell="A77" activePane="bottomLeft" state="frozen"/>
      <selection pane="bottomLeft" activeCell="B8" sqref="B8"/>
    </sheetView>
  </sheetViews>
  <sheetFormatPr defaultColWidth="8.6328125" defaultRowHeight="14.5" x14ac:dyDescent="0.35"/>
  <cols>
    <col min="1" max="1" width="11" customWidth="1"/>
    <col min="2" max="2" width="20" customWidth="1"/>
    <col min="3" max="3" width="8" customWidth="1"/>
    <col min="4" max="4" width="12" customWidth="1"/>
    <col min="5" max="5" width="6" customWidth="1"/>
    <col min="6" max="6" width="12" customWidth="1"/>
    <col min="7" max="7" width="8" customWidth="1"/>
    <col min="8" max="8" width="26" customWidth="1"/>
    <col min="9" max="9" width="22" customWidth="1"/>
    <col min="10" max="10" width="16" customWidth="1"/>
    <col min="11" max="11" width="15" customWidth="1"/>
    <col min="12" max="12" width="22" customWidth="1"/>
    <col min="13" max="13" width="14" customWidth="1"/>
    <col min="14" max="14" width="16" customWidth="1"/>
    <col min="15" max="15" width="13" customWidth="1"/>
    <col min="16" max="16" width="12" customWidth="1"/>
    <col min="17" max="17" width="18" customWidth="1"/>
  </cols>
  <sheetData>
    <row r="1" spans="1:17" ht="26" x14ac:dyDescent="0.35">
      <c r="A1" s="13" t="s">
        <v>81</v>
      </c>
      <c r="B1" s="13" t="s">
        <v>82</v>
      </c>
      <c r="C1" s="13" t="s">
        <v>51</v>
      </c>
      <c r="D1" s="13" t="s">
        <v>83</v>
      </c>
      <c r="E1" s="13" t="s">
        <v>84</v>
      </c>
      <c r="F1" s="13" t="s">
        <v>85</v>
      </c>
      <c r="G1" s="13" t="s">
        <v>86</v>
      </c>
      <c r="H1" s="13" t="s">
        <v>49</v>
      </c>
      <c r="I1" s="13" t="s">
        <v>87</v>
      </c>
      <c r="J1" s="13" t="s">
        <v>88</v>
      </c>
      <c r="K1" s="13" t="s">
        <v>89</v>
      </c>
      <c r="L1" s="13" t="s">
        <v>90</v>
      </c>
      <c r="M1" s="13" t="s">
        <v>52</v>
      </c>
      <c r="N1" s="13" t="s">
        <v>91</v>
      </c>
      <c r="O1" s="13" t="s">
        <v>92</v>
      </c>
      <c r="P1" s="13" t="s">
        <v>93</v>
      </c>
      <c r="Q1" s="13" t="s">
        <v>94</v>
      </c>
    </row>
    <row r="2" spans="1:17" x14ac:dyDescent="0.35">
      <c r="A2" s="15" t="s">
        <v>95</v>
      </c>
      <c r="B2" s="15" t="s">
        <v>96</v>
      </c>
      <c r="C2" s="15" t="s">
        <v>54</v>
      </c>
      <c r="D2" s="16">
        <v>34512</v>
      </c>
      <c r="E2" s="15">
        <f t="shared" ref="E2:E33" ca="1" si="0">DATEDIF(D2,TODAY(),"Y")</f>
        <v>32</v>
      </c>
      <c r="F2" s="16">
        <v>41942</v>
      </c>
      <c r="G2" s="15">
        <f t="shared" ref="G2:G33" ca="1" si="1">DATEDIF(F2,TODAY(),"Y")</f>
        <v>11</v>
      </c>
      <c r="H2" s="15" t="s">
        <v>97</v>
      </c>
      <c r="I2" s="15" t="s">
        <v>98</v>
      </c>
      <c r="J2" s="15" t="s">
        <v>99</v>
      </c>
      <c r="K2" s="15" t="s">
        <v>62</v>
      </c>
      <c r="L2" s="15" t="s">
        <v>100</v>
      </c>
      <c r="M2" s="15" t="s">
        <v>58</v>
      </c>
      <c r="N2" s="15" t="s">
        <v>101</v>
      </c>
      <c r="O2" s="15" t="s">
        <v>102</v>
      </c>
      <c r="P2" s="15" t="s">
        <v>103</v>
      </c>
      <c r="Q2" s="17">
        <v>75247</v>
      </c>
    </row>
    <row r="3" spans="1:17" x14ac:dyDescent="0.35">
      <c r="A3" s="15" t="s">
        <v>104</v>
      </c>
      <c r="B3" s="15" t="s">
        <v>105</v>
      </c>
      <c r="C3" s="15" t="s">
        <v>54</v>
      </c>
      <c r="D3" s="16">
        <v>36276</v>
      </c>
      <c r="E3" s="15">
        <f t="shared" ca="1" si="0"/>
        <v>27</v>
      </c>
      <c r="F3" s="16">
        <v>44969</v>
      </c>
      <c r="G3" s="15">
        <f t="shared" ca="1" si="1"/>
        <v>3</v>
      </c>
      <c r="H3" s="15" t="s">
        <v>106</v>
      </c>
      <c r="I3" s="15" t="s">
        <v>107</v>
      </c>
      <c r="J3" s="15" t="s">
        <v>108</v>
      </c>
      <c r="K3" s="15" t="s">
        <v>65</v>
      </c>
      <c r="L3" s="15" t="s">
        <v>109</v>
      </c>
      <c r="M3" s="15" t="s">
        <v>58</v>
      </c>
      <c r="N3" s="15" t="s">
        <v>101</v>
      </c>
      <c r="O3" s="15" t="s">
        <v>110</v>
      </c>
      <c r="P3" s="15" t="s">
        <v>103</v>
      </c>
      <c r="Q3" s="17">
        <v>31349</v>
      </c>
    </row>
    <row r="4" spans="1:17" x14ac:dyDescent="0.35">
      <c r="A4" s="15" t="s">
        <v>111</v>
      </c>
      <c r="B4" s="15" t="s">
        <v>112</v>
      </c>
      <c r="C4" s="15" t="s">
        <v>54</v>
      </c>
      <c r="D4" s="16">
        <v>35137</v>
      </c>
      <c r="E4" s="15">
        <f t="shared" ca="1" si="0"/>
        <v>30</v>
      </c>
      <c r="F4" s="16">
        <v>43419</v>
      </c>
      <c r="G4" s="15">
        <f t="shared" ca="1" si="1"/>
        <v>7</v>
      </c>
      <c r="H4" s="15" t="s">
        <v>113</v>
      </c>
      <c r="I4" s="15" t="s">
        <v>114</v>
      </c>
      <c r="J4" s="15" t="s">
        <v>115</v>
      </c>
      <c r="K4" s="15" t="s">
        <v>56</v>
      </c>
      <c r="L4" s="15" t="s">
        <v>116</v>
      </c>
      <c r="M4" s="15" t="s">
        <v>60</v>
      </c>
      <c r="N4" s="15" t="s">
        <v>117</v>
      </c>
      <c r="O4" s="15" t="s">
        <v>118</v>
      </c>
      <c r="P4" s="15" t="s">
        <v>119</v>
      </c>
      <c r="Q4" s="17">
        <v>15139</v>
      </c>
    </row>
    <row r="5" spans="1:17" x14ac:dyDescent="0.35">
      <c r="A5" s="15" t="s">
        <v>120</v>
      </c>
      <c r="B5" s="15" t="s">
        <v>121</v>
      </c>
      <c r="C5" s="15" t="s">
        <v>54</v>
      </c>
      <c r="D5" s="16">
        <v>27502</v>
      </c>
      <c r="E5" s="15">
        <f t="shared" ca="1" si="0"/>
        <v>51</v>
      </c>
      <c r="F5" s="16">
        <v>41385</v>
      </c>
      <c r="G5" s="15">
        <f t="shared" ca="1" si="1"/>
        <v>13</v>
      </c>
      <c r="H5" s="15" t="s">
        <v>97</v>
      </c>
      <c r="I5" s="15" t="s">
        <v>122</v>
      </c>
      <c r="J5" s="15" t="s">
        <v>115</v>
      </c>
      <c r="K5" s="15" t="s">
        <v>59</v>
      </c>
      <c r="L5" s="15" t="s">
        <v>123</v>
      </c>
      <c r="M5" s="15" t="s">
        <v>55</v>
      </c>
      <c r="N5" s="15" t="s">
        <v>101</v>
      </c>
      <c r="O5" s="15" t="s">
        <v>118</v>
      </c>
      <c r="P5" s="15" t="s">
        <v>119</v>
      </c>
      <c r="Q5" s="17">
        <v>15169</v>
      </c>
    </row>
    <row r="6" spans="1:17" x14ac:dyDescent="0.35">
      <c r="A6" s="15" t="s">
        <v>124</v>
      </c>
      <c r="B6" s="15" t="s">
        <v>125</v>
      </c>
      <c r="C6" s="15" t="s">
        <v>54</v>
      </c>
      <c r="D6" s="16">
        <v>36054</v>
      </c>
      <c r="E6" s="15">
        <f t="shared" ca="1" si="0"/>
        <v>27</v>
      </c>
      <c r="F6" s="16">
        <v>46127</v>
      </c>
      <c r="G6" s="15">
        <f t="shared" ca="1" si="1"/>
        <v>0</v>
      </c>
      <c r="H6" s="15" t="s">
        <v>126</v>
      </c>
      <c r="I6" s="15" t="s">
        <v>107</v>
      </c>
      <c r="J6" s="15" t="s">
        <v>108</v>
      </c>
      <c r="K6" s="15" t="s">
        <v>62</v>
      </c>
      <c r="L6" s="15" t="s">
        <v>100</v>
      </c>
      <c r="M6" s="15" t="s">
        <v>60</v>
      </c>
      <c r="N6" s="15" t="s">
        <v>101</v>
      </c>
      <c r="O6" s="15" t="s">
        <v>118</v>
      </c>
      <c r="P6" s="15" t="s">
        <v>103</v>
      </c>
      <c r="Q6" s="17">
        <v>41145</v>
      </c>
    </row>
    <row r="7" spans="1:17" x14ac:dyDescent="0.35">
      <c r="A7" s="15" t="s">
        <v>127</v>
      </c>
      <c r="B7" s="15" t="s">
        <v>128</v>
      </c>
      <c r="C7" s="15" t="s">
        <v>54</v>
      </c>
      <c r="D7" s="16">
        <v>37077</v>
      </c>
      <c r="E7" s="15">
        <f t="shared" ca="1" si="0"/>
        <v>25</v>
      </c>
      <c r="F7" s="16">
        <v>46131</v>
      </c>
      <c r="G7" s="15">
        <f t="shared" ca="1" si="1"/>
        <v>0</v>
      </c>
      <c r="H7" s="15" t="s">
        <v>106</v>
      </c>
      <c r="I7" s="15" t="s">
        <v>122</v>
      </c>
      <c r="J7" s="15" t="s">
        <v>115</v>
      </c>
      <c r="K7" s="15" t="s">
        <v>63</v>
      </c>
      <c r="L7" s="15" t="s">
        <v>129</v>
      </c>
      <c r="M7" s="15" t="s">
        <v>55</v>
      </c>
      <c r="N7" s="15" t="s">
        <v>117</v>
      </c>
      <c r="O7" s="15" t="s">
        <v>130</v>
      </c>
      <c r="P7" s="15" t="s">
        <v>119</v>
      </c>
      <c r="Q7" s="17">
        <v>16266</v>
      </c>
    </row>
    <row r="8" spans="1:17" x14ac:dyDescent="0.35">
      <c r="A8" s="15" t="s">
        <v>131</v>
      </c>
      <c r="B8" s="15" t="s">
        <v>132</v>
      </c>
      <c r="C8" s="15" t="s">
        <v>54</v>
      </c>
      <c r="D8" s="16">
        <v>33507</v>
      </c>
      <c r="E8" s="15">
        <f t="shared" ca="1" si="0"/>
        <v>34</v>
      </c>
      <c r="F8" s="16">
        <v>43073</v>
      </c>
      <c r="G8" s="15">
        <f t="shared" ca="1" si="1"/>
        <v>8</v>
      </c>
      <c r="H8" s="15" t="s">
        <v>133</v>
      </c>
      <c r="I8" s="15" t="s">
        <v>134</v>
      </c>
      <c r="J8" s="15" t="s">
        <v>108</v>
      </c>
      <c r="K8" s="15" t="s">
        <v>59</v>
      </c>
      <c r="L8" s="15" t="s">
        <v>123</v>
      </c>
      <c r="M8" s="15" t="s">
        <v>55</v>
      </c>
      <c r="N8" s="15" t="s">
        <v>101</v>
      </c>
      <c r="O8" s="15" t="s">
        <v>118</v>
      </c>
      <c r="P8" s="15" t="s">
        <v>119</v>
      </c>
      <c r="Q8" s="17">
        <v>51616</v>
      </c>
    </row>
    <row r="9" spans="1:17" x14ac:dyDescent="0.35">
      <c r="A9" s="15" t="s">
        <v>135</v>
      </c>
      <c r="B9" s="15" t="s">
        <v>136</v>
      </c>
      <c r="C9" s="15" t="s">
        <v>57</v>
      </c>
      <c r="D9" s="16">
        <v>33039</v>
      </c>
      <c r="E9" s="15">
        <f t="shared" ca="1" si="0"/>
        <v>36</v>
      </c>
      <c r="F9" s="16">
        <v>44594</v>
      </c>
      <c r="G9" s="15">
        <f t="shared" ca="1" si="1"/>
        <v>4</v>
      </c>
      <c r="H9" s="15" t="s">
        <v>106</v>
      </c>
      <c r="I9" s="15" t="s">
        <v>137</v>
      </c>
      <c r="J9" s="15" t="s">
        <v>108</v>
      </c>
      <c r="K9" s="15" t="s">
        <v>66</v>
      </c>
      <c r="L9" s="15" t="s">
        <v>138</v>
      </c>
      <c r="M9" s="15" t="s">
        <v>55</v>
      </c>
      <c r="N9" s="15" t="s">
        <v>101</v>
      </c>
      <c r="O9" s="15" t="s">
        <v>102</v>
      </c>
      <c r="P9" s="15" t="s">
        <v>119</v>
      </c>
      <c r="Q9" s="17">
        <v>37779</v>
      </c>
    </row>
    <row r="10" spans="1:17" x14ac:dyDescent="0.35">
      <c r="A10" s="15" t="s">
        <v>139</v>
      </c>
      <c r="B10" s="15" t="s">
        <v>140</v>
      </c>
      <c r="C10" s="15" t="s">
        <v>54</v>
      </c>
      <c r="D10" s="16">
        <v>28761</v>
      </c>
      <c r="E10" s="15">
        <f t="shared" ca="1" si="0"/>
        <v>47</v>
      </c>
      <c r="F10" s="16">
        <v>38827</v>
      </c>
      <c r="G10" s="15">
        <f t="shared" ca="1" si="1"/>
        <v>20</v>
      </c>
      <c r="H10" s="15" t="s">
        <v>141</v>
      </c>
      <c r="I10" s="15" t="s">
        <v>142</v>
      </c>
      <c r="J10" s="15" t="s">
        <v>108</v>
      </c>
      <c r="K10" s="15" t="s">
        <v>61</v>
      </c>
      <c r="L10" s="15" t="s">
        <v>143</v>
      </c>
      <c r="M10" s="15" t="s">
        <v>60</v>
      </c>
      <c r="N10" s="15" t="s">
        <v>101</v>
      </c>
      <c r="O10" s="15" t="s">
        <v>102</v>
      </c>
      <c r="P10" s="15" t="s">
        <v>119</v>
      </c>
      <c r="Q10" s="17">
        <v>30806</v>
      </c>
    </row>
    <row r="11" spans="1:17" x14ac:dyDescent="0.35">
      <c r="A11" s="15" t="s">
        <v>144</v>
      </c>
      <c r="B11" s="15" t="s">
        <v>145</v>
      </c>
      <c r="C11" s="15" t="s">
        <v>57</v>
      </c>
      <c r="D11" s="16">
        <v>33673</v>
      </c>
      <c r="E11" s="15">
        <f t="shared" ca="1" si="0"/>
        <v>34</v>
      </c>
      <c r="F11" s="16">
        <v>44540</v>
      </c>
      <c r="G11" s="15">
        <f t="shared" ca="1" si="1"/>
        <v>4</v>
      </c>
      <c r="H11" s="15" t="s">
        <v>106</v>
      </c>
      <c r="I11" s="15" t="s">
        <v>146</v>
      </c>
      <c r="J11" s="15" t="s">
        <v>108</v>
      </c>
      <c r="K11" s="15" t="s">
        <v>63</v>
      </c>
      <c r="L11" s="15" t="s">
        <v>147</v>
      </c>
      <c r="M11" s="15" t="s">
        <v>58</v>
      </c>
      <c r="N11" s="15" t="s">
        <v>101</v>
      </c>
      <c r="O11" s="15" t="s">
        <v>118</v>
      </c>
      <c r="P11" s="15" t="s">
        <v>103</v>
      </c>
      <c r="Q11" s="17">
        <v>38214</v>
      </c>
    </row>
    <row r="12" spans="1:17" x14ac:dyDescent="0.35">
      <c r="A12" s="15" t="s">
        <v>148</v>
      </c>
      <c r="B12" s="15" t="s">
        <v>149</v>
      </c>
      <c r="C12" s="15" t="s">
        <v>57</v>
      </c>
      <c r="D12" s="16">
        <v>34479</v>
      </c>
      <c r="E12" s="15">
        <f t="shared" ca="1" si="0"/>
        <v>32</v>
      </c>
      <c r="F12" s="16">
        <v>41808</v>
      </c>
      <c r="G12" s="15">
        <f t="shared" ca="1" si="1"/>
        <v>12</v>
      </c>
      <c r="H12" s="15" t="s">
        <v>150</v>
      </c>
      <c r="I12" s="15" t="s">
        <v>142</v>
      </c>
      <c r="J12" s="15" t="s">
        <v>108</v>
      </c>
      <c r="K12" s="15" t="s">
        <v>63</v>
      </c>
      <c r="L12" s="15" t="s">
        <v>151</v>
      </c>
      <c r="M12" s="15" t="s">
        <v>55</v>
      </c>
      <c r="N12" s="15" t="s">
        <v>101</v>
      </c>
      <c r="O12" s="15" t="s">
        <v>118</v>
      </c>
      <c r="P12" s="15" t="s">
        <v>103</v>
      </c>
      <c r="Q12" s="17">
        <v>35501</v>
      </c>
    </row>
    <row r="13" spans="1:17" x14ac:dyDescent="0.35">
      <c r="A13" s="15" t="s">
        <v>152</v>
      </c>
      <c r="B13" s="15" t="s">
        <v>153</v>
      </c>
      <c r="C13" s="15" t="s">
        <v>57</v>
      </c>
      <c r="D13" s="16">
        <v>28819</v>
      </c>
      <c r="E13" s="15">
        <f t="shared" ca="1" si="0"/>
        <v>47</v>
      </c>
      <c r="F13" s="16">
        <v>44780</v>
      </c>
      <c r="G13" s="15">
        <f t="shared" ca="1" si="1"/>
        <v>4</v>
      </c>
      <c r="H13" s="15" t="s">
        <v>150</v>
      </c>
      <c r="I13" s="15" t="s">
        <v>137</v>
      </c>
      <c r="J13" s="15" t="s">
        <v>108</v>
      </c>
      <c r="K13" s="15" t="s">
        <v>62</v>
      </c>
      <c r="L13" s="15" t="s">
        <v>154</v>
      </c>
      <c r="M13" s="15" t="s">
        <v>55</v>
      </c>
      <c r="N13" s="15" t="s">
        <v>101</v>
      </c>
      <c r="O13" s="15" t="s">
        <v>118</v>
      </c>
      <c r="P13" s="15" t="s">
        <v>119</v>
      </c>
      <c r="Q13" s="17">
        <v>31090</v>
      </c>
    </row>
    <row r="14" spans="1:17" x14ac:dyDescent="0.35">
      <c r="A14" s="15" t="s">
        <v>155</v>
      </c>
      <c r="B14" s="15" t="s">
        <v>156</v>
      </c>
      <c r="C14" s="15" t="s">
        <v>57</v>
      </c>
      <c r="D14" s="16">
        <v>28911</v>
      </c>
      <c r="E14" s="15">
        <f t="shared" ca="1" si="0"/>
        <v>47</v>
      </c>
      <c r="F14" s="16">
        <v>39922</v>
      </c>
      <c r="G14" s="15">
        <f t="shared" ca="1" si="1"/>
        <v>17</v>
      </c>
      <c r="H14" s="15" t="s">
        <v>157</v>
      </c>
      <c r="I14" s="15" t="s">
        <v>98</v>
      </c>
      <c r="J14" s="15" t="s">
        <v>99</v>
      </c>
      <c r="K14" s="15" t="s">
        <v>63</v>
      </c>
      <c r="L14" s="15" t="s">
        <v>147</v>
      </c>
      <c r="M14" s="15" t="s">
        <v>55</v>
      </c>
      <c r="N14" s="15" t="s">
        <v>101</v>
      </c>
      <c r="O14" s="15" t="s">
        <v>118</v>
      </c>
      <c r="P14" s="15" t="s">
        <v>103</v>
      </c>
      <c r="Q14" s="17">
        <v>69186</v>
      </c>
    </row>
    <row r="15" spans="1:17" x14ac:dyDescent="0.35">
      <c r="A15" s="15" t="s">
        <v>158</v>
      </c>
      <c r="B15" s="15" t="s">
        <v>159</v>
      </c>
      <c r="C15" s="15" t="s">
        <v>54</v>
      </c>
      <c r="D15" s="16">
        <v>27562</v>
      </c>
      <c r="E15" s="15">
        <f t="shared" ca="1" si="0"/>
        <v>51</v>
      </c>
      <c r="F15" s="16">
        <v>41682</v>
      </c>
      <c r="G15" s="15">
        <f t="shared" ca="1" si="1"/>
        <v>12</v>
      </c>
      <c r="H15" s="15" t="s">
        <v>160</v>
      </c>
      <c r="I15" s="15" t="s">
        <v>98</v>
      </c>
      <c r="J15" s="15" t="s">
        <v>99</v>
      </c>
      <c r="K15" s="15" t="s">
        <v>63</v>
      </c>
      <c r="L15" s="15" t="s">
        <v>147</v>
      </c>
      <c r="M15" s="15" t="s">
        <v>60</v>
      </c>
      <c r="N15" s="15" t="s">
        <v>101</v>
      </c>
      <c r="O15" s="15" t="s">
        <v>102</v>
      </c>
      <c r="P15" s="15" t="s">
        <v>103</v>
      </c>
      <c r="Q15" s="17">
        <v>86282</v>
      </c>
    </row>
    <row r="16" spans="1:17" x14ac:dyDescent="0.35">
      <c r="A16" s="15" t="s">
        <v>161</v>
      </c>
      <c r="B16" s="15" t="s">
        <v>162</v>
      </c>
      <c r="C16" s="15" t="s">
        <v>54</v>
      </c>
      <c r="D16" s="16">
        <v>29699</v>
      </c>
      <c r="E16" s="15">
        <f t="shared" ca="1" si="0"/>
        <v>45</v>
      </c>
      <c r="F16" s="16">
        <v>40136</v>
      </c>
      <c r="G16" s="15">
        <f t="shared" ca="1" si="1"/>
        <v>16</v>
      </c>
      <c r="H16" s="15" t="s">
        <v>163</v>
      </c>
      <c r="I16" s="15" t="s">
        <v>146</v>
      </c>
      <c r="J16" s="15" t="s">
        <v>108</v>
      </c>
      <c r="K16" s="15" t="s">
        <v>56</v>
      </c>
      <c r="L16" s="15" t="s">
        <v>164</v>
      </c>
      <c r="M16" s="15" t="s">
        <v>58</v>
      </c>
      <c r="N16" s="15" t="s">
        <v>165</v>
      </c>
      <c r="O16" s="15" t="s">
        <v>118</v>
      </c>
      <c r="P16" s="15" t="s">
        <v>103</v>
      </c>
      <c r="Q16" s="17">
        <v>45766</v>
      </c>
    </row>
    <row r="17" spans="1:17" x14ac:dyDescent="0.35">
      <c r="A17" s="15" t="s">
        <v>166</v>
      </c>
      <c r="B17" s="15" t="s">
        <v>167</v>
      </c>
      <c r="C17" s="15" t="s">
        <v>57</v>
      </c>
      <c r="D17" s="16">
        <v>25960</v>
      </c>
      <c r="E17" s="15">
        <f t="shared" ca="1" si="0"/>
        <v>55</v>
      </c>
      <c r="F17" s="16">
        <v>43227</v>
      </c>
      <c r="G17" s="15">
        <f t="shared" ca="1" si="1"/>
        <v>8</v>
      </c>
      <c r="H17" s="15" t="s">
        <v>168</v>
      </c>
      <c r="I17" s="15" t="s">
        <v>169</v>
      </c>
      <c r="J17" s="15" t="s">
        <v>115</v>
      </c>
      <c r="K17" s="15" t="s">
        <v>63</v>
      </c>
      <c r="L17" s="15" t="s">
        <v>147</v>
      </c>
      <c r="M17" s="15" t="s">
        <v>55</v>
      </c>
      <c r="N17" s="15" t="s">
        <v>101</v>
      </c>
      <c r="O17" s="15" t="s">
        <v>118</v>
      </c>
      <c r="P17" s="15" t="s">
        <v>103</v>
      </c>
      <c r="Q17" s="17">
        <v>23333</v>
      </c>
    </row>
    <row r="18" spans="1:17" x14ac:dyDescent="0.35">
      <c r="A18" s="15" t="s">
        <v>170</v>
      </c>
      <c r="B18" s="15" t="s">
        <v>171</v>
      </c>
      <c r="C18" s="15" t="s">
        <v>54</v>
      </c>
      <c r="D18" s="16">
        <v>28748</v>
      </c>
      <c r="E18" s="15">
        <f t="shared" ca="1" si="0"/>
        <v>47</v>
      </c>
      <c r="F18" s="16">
        <v>40528</v>
      </c>
      <c r="G18" s="15">
        <f t="shared" ca="1" si="1"/>
        <v>15</v>
      </c>
      <c r="H18" s="15" t="s">
        <v>160</v>
      </c>
      <c r="I18" s="15" t="s">
        <v>146</v>
      </c>
      <c r="J18" s="15" t="s">
        <v>108</v>
      </c>
      <c r="K18" s="15" t="s">
        <v>65</v>
      </c>
      <c r="L18" s="15" t="s">
        <v>172</v>
      </c>
      <c r="M18" s="15" t="s">
        <v>55</v>
      </c>
      <c r="N18" s="15" t="s">
        <v>101</v>
      </c>
      <c r="O18" s="15" t="s">
        <v>130</v>
      </c>
      <c r="P18" s="15" t="s">
        <v>119</v>
      </c>
      <c r="Q18" s="17">
        <v>37830</v>
      </c>
    </row>
    <row r="19" spans="1:17" x14ac:dyDescent="0.35">
      <c r="A19" s="15" t="s">
        <v>173</v>
      </c>
      <c r="B19" s="15" t="s">
        <v>174</v>
      </c>
      <c r="C19" s="15" t="s">
        <v>54</v>
      </c>
      <c r="D19" s="16">
        <v>28840</v>
      </c>
      <c r="E19" s="15">
        <f t="shared" ca="1" si="0"/>
        <v>47</v>
      </c>
      <c r="F19" s="16">
        <v>41380</v>
      </c>
      <c r="G19" s="15">
        <f t="shared" ca="1" si="1"/>
        <v>13</v>
      </c>
      <c r="H19" s="15" t="s">
        <v>163</v>
      </c>
      <c r="I19" s="15" t="s">
        <v>146</v>
      </c>
      <c r="J19" s="15" t="s">
        <v>108</v>
      </c>
      <c r="K19" s="15" t="s">
        <v>59</v>
      </c>
      <c r="L19" s="15" t="s">
        <v>123</v>
      </c>
      <c r="M19" s="15" t="s">
        <v>55</v>
      </c>
      <c r="N19" s="15" t="s">
        <v>101</v>
      </c>
      <c r="O19" s="15" t="s">
        <v>102</v>
      </c>
      <c r="P19" s="15" t="s">
        <v>103</v>
      </c>
      <c r="Q19" s="17">
        <v>51053</v>
      </c>
    </row>
    <row r="20" spans="1:17" x14ac:dyDescent="0.35">
      <c r="A20" s="15" t="s">
        <v>175</v>
      </c>
      <c r="B20" s="15" t="s">
        <v>176</v>
      </c>
      <c r="C20" s="15" t="s">
        <v>54</v>
      </c>
      <c r="D20" s="16">
        <v>29300</v>
      </c>
      <c r="E20" s="15">
        <f t="shared" ca="1" si="0"/>
        <v>46</v>
      </c>
      <c r="F20" s="16">
        <v>40661</v>
      </c>
      <c r="G20" s="15">
        <f t="shared" ca="1" si="1"/>
        <v>15</v>
      </c>
      <c r="H20" s="15" t="s">
        <v>106</v>
      </c>
      <c r="I20" s="15" t="s">
        <v>177</v>
      </c>
      <c r="J20" s="15" t="s">
        <v>99</v>
      </c>
      <c r="K20" s="15" t="s">
        <v>56</v>
      </c>
      <c r="L20" s="15" t="s">
        <v>178</v>
      </c>
      <c r="M20" s="15" t="s">
        <v>55</v>
      </c>
      <c r="N20" s="15" t="s">
        <v>101</v>
      </c>
      <c r="O20" s="15" t="s">
        <v>102</v>
      </c>
      <c r="P20" s="15" t="s">
        <v>103</v>
      </c>
      <c r="Q20" s="17">
        <v>82471</v>
      </c>
    </row>
    <row r="21" spans="1:17" x14ac:dyDescent="0.35">
      <c r="A21" s="15" t="s">
        <v>179</v>
      </c>
      <c r="B21" s="15" t="s">
        <v>180</v>
      </c>
      <c r="C21" s="15" t="s">
        <v>54</v>
      </c>
      <c r="D21" s="16">
        <v>35276</v>
      </c>
      <c r="E21" s="15">
        <f t="shared" ca="1" si="0"/>
        <v>30</v>
      </c>
      <c r="F21" s="16">
        <v>45705</v>
      </c>
      <c r="G21" s="15">
        <f t="shared" ca="1" si="1"/>
        <v>1</v>
      </c>
      <c r="H21" s="15" t="s">
        <v>133</v>
      </c>
      <c r="I21" s="15" t="s">
        <v>107</v>
      </c>
      <c r="J21" s="15" t="s">
        <v>108</v>
      </c>
      <c r="K21" s="15" t="s">
        <v>59</v>
      </c>
      <c r="L21" s="15" t="s">
        <v>181</v>
      </c>
      <c r="M21" s="15" t="s">
        <v>55</v>
      </c>
      <c r="N21" s="15" t="s">
        <v>101</v>
      </c>
      <c r="O21" s="15" t="s">
        <v>118</v>
      </c>
      <c r="P21" s="15" t="s">
        <v>103</v>
      </c>
      <c r="Q21" s="17">
        <v>51123</v>
      </c>
    </row>
    <row r="22" spans="1:17" x14ac:dyDescent="0.35">
      <c r="A22" s="15" t="s">
        <v>182</v>
      </c>
      <c r="B22" s="15" t="s">
        <v>183</v>
      </c>
      <c r="C22" s="15" t="s">
        <v>54</v>
      </c>
      <c r="D22" s="16">
        <v>25523</v>
      </c>
      <c r="E22" s="15">
        <f t="shared" ca="1" si="0"/>
        <v>56</v>
      </c>
      <c r="F22" s="16">
        <v>40878</v>
      </c>
      <c r="G22" s="15">
        <f t="shared" ca="1" si="1"/>
        <v>14</v>
      </c>
      <c r="H22" s="15" t="s">
        <v>126</v>
      </c>
      <c r="I22" s="15" t="s">
        <v>184</v>
      </c>
      <c r="J22" s="15" t="s">
        <v>99</v>
      </c>
      <c r="K22" s="15" t="s">
        <v>64</v>
      </c>
      <c r="L22" s="15" t="s">
        <v>185</v>
      </c>
      <c r="M22" s="15" t="s">
        <v>55</v>
      </c>
      <c r="N22" s="15" t="s">
        <v>101</v>
      </c>
      <c r="O22" s="15" t="s">
        <v>130</v>
      </c>
      <c r="P22" s="15" t="s">
        <v>103</v>
      </c>
      <c r="Q22" s="17">
        <v>83449</v>
      </c>
    </row>
    <row r="23" spans="1:17" x14ac:dyDescent="0.35">
      <c r="A23" s="15" t="s">
        <v>186</v>
      </c>
      <c r="B23" s="15" t="s">
        <v>187</v>
      </c>
      <c r="C23" s="15" t="s">
        <v>57</v>
      </c>
      <c r="D23" s="16">
        <v>31593</v>
      </c>
      <c r="E23" s="15">
        <f t="shared" ca="1" si="0"/>
        <v>40</v>
      </c>
      <c r="F23" s="16">
        <v>39627</v>
      </c>
      <c r="G23" s="15">
        <f t="shared" ca="1" si="1"/>
        <v>18</v>
      </c>
      <c r="H23" s="15" t="s">
        <v>150</v>
      </c>
      <c r="I23" s="15" t="s">
        <v>169</v>
      </c>
      <c r="J23" s="15" t="s">
        <v>115</v>
      </c>
      <c r="K23" s="15" t="s">
        <v>65</v>
      </c>
      <c r="L23" s="15" t="s">
        <v>172</v>
      </c>
      <c r="M23" s="15" t="s">
        <v>58</v>
      </c>
      <c r="N23" s="15" t="s">
        <v>101</v>
      </c>
      <c r="O23" s="15" t="s">
        <v>102</v>
      </c>
      <c r="P23" s="15" t="s">
        <v>103</v>
      </c>
      <c r="Q23" s="17">
        <v>18065</v>
      </c>
    </row>
    <row r="24" spans="1:17" x14ac:dyDescent="0.35">
      <c r="A24" s="15" t="s">
        <v>188</v>
      </c>
      <c r="B24" s="15" t="s">
        <v>189</v>
      </c>
      <c r="C24" s="15" t="s">
        <v>54</v>
      </c>
      <c r="D24" s="16">
        <v>28490</v>
      </c>
      <c r="E24" s="15">
        <f t="shared" ca="1" si="0"/>
        <v>48</v>
      </c>
      <c r="F24" s="16">
        <v>38546</v>
      </c>
      <c r="G24" s="15">
        <f t="shared" ca="1" si="1"/>
        <v>21</v>
      </c>
      <c r="H24" s="15" t="s">
        <v>133</v>
      </c>
      <c r="I24" s="15" t="s">
        <v>134</v>
      </c>
      <c r="J24" s="15" t="s">
        <v>108</v>
      </c>
      <c r="K24" s="15" t="s">
        <v>63</v>
      </c>
      <c r="L24" s="15" t="s">
        <v>151</v>
      </c>
      <c r="M24" s="15" t="s">
        <v>55</v>
      </c>
      <c r="N24" s="15" t="s">
        <v>101</v>
      </c>
      <c r="O24" s="15" t="s">
        <v>102</v>
      </c>
      <c r="P24" s="15" t="s">
        <v>103</v>
      </c>
      <c r="Q24" s="17">
        <v>37129</v>
      </c>
    </row>
    <row r="25" spans="1:17" x14ac:dyDescent="0.35">
      <c r="A25" s="15" t="s">
        <v>190</v>
      </c>
      <c r="B25" s="15" t="s">
        <v>191</v>
      </c>
      <c r="C25" s="15" t="s">
        <v>57</v>
      </c>
      <c r="D25" s="16">
        <v>27763</v>
      </c>
      <c r="E25" s="15">
        <f t="shared" ca="1" si="0"/>
        <v>50</v>
      </c>
      <c r="F25" s="16">
        <v>43109</v>
      </c>
      <c r="G25" s="15">
        <f t="shared" ca="1" si="1"/>
        <v>8</v>
      </c>
      <c r="H25" s="15" t="s">
        <v>106</v>
      </c>
      <c r="I25" s="15" t="s">
        <v>192</v>
      </c>
      <c r="J25" s="15" t="s">
        <v>115</v>
      </c>
      <c r="K25" s="15" t="s">
        <v>65</v>
      </c>
      <c r="L25" s="15" t="s">
        <v>172</v>
      </c>
      <c r="M25" s="15" t="s">
        <v>60</v>
      </c>
      <c r="N25" s="15" t="s">
        <v>165</v>
      </c>
      <c r="O25" s="15" t="s">
        <v>130</v>
      </c>
      <c r="P25" s="15" t="s">
        <v>119</v>
      </c>
      <c r="Q25" s="17">
        <v>23774</v>
      </c>
    </row>
    <row r="26" spans="1:17" x14ac:dyDescent="0.35">
      <c r="A26" s="15" t="s">
        <v>193</v>
      </c>
      <c r="B26" s="15" t="s">
        <v>194</v>
      </c>
      <c r="C26" s="15" t="s">
        <v>54</v>
      </c>
      <c r="D26" s="16">
        <v>33356</v>
      </c>
      <c r="E26" s="15">
        <f t="shared" ca="1" si="0"/>
        <v>35</v>
      </c>
      <c r="F26" s="16">
        <v>45935</v>
      </c>
      <c r="G26" s="15">
        <f t="shared" ca="1" si="1"/>
        <v>0</v>
      </c>
      <c r="H26" s="15" t="s">
        <v>168</v>
      </c>
      <c r="I26" s="15" t="s">
        <v>169</v>
      </c>
      <c r="J26" s="15" t="s">
        <v>115</v>
      </c>
      <c r="K26" s="15" t="s">
        <v>59</v>
      </c>
      <c r="L26" s="15" t="s">
        <v>195</v>
      </c>
      <c r="M26" s="15" t="s">
        <v>55</v>
      </c>
      <c r="N26" s="15" t="s">
        <v>101</v>
      </c>
      <c r="O26" s="15" t="s">
        <v>118</v>
      </c>
      <c r="P26" s="15" t="s">
        <v>103</v>
      </c>
      <c r="Q26" s="17">
        <v>17228</v>
      </c>
    </row>
    <row r="27" spans="1:17" x14ac:dyDescent="0.35">
      <c r="A27" s="15" t="s">
        <v>196</v>
      </c>
      <c r="B27" s="15" t="s">
        <v>197</v>
      </c>
      <c r="C27" s="15" t="s">
        <v>54</v>
      </c>
      <c r="D27" s="16">
        <v>31430</v>
      </c>
      <c r="E27" s="15">
        <f t="shared" ca="1" si="0"/>
        <v>40</v>
      </c>
      <c r="F27" s="16">
        <v>44064</v>
      </c>
      <c r="G27" s="15">
        <f t="shared" ca="1" si="1"/>
        <v>6</v>
      </c>
      <c r="H27" s="15" t="s">
        <v>113</v>
      </c>
      <c r="I27" s="15" t="s">
        <v>192</v>
      </c>
      <c r="J27" s="15" t="s">
        <v>115</v>
      </c>
      <c r="K27" s="15" t="s">
        <v>66</v>
      </c>
      <c r="L27" s="15" t="s">
        <v>198</v>
      </c>
      <c r="M27" s="15" t="s">
        <v>55</v>
      </c>
      <c r="N27" s="15" t="s">
        <v>101</v>
      </c>
      <c r="O27" s="15" t="s">
        <v>118</v>
      </c>
      <c r="P27" s="15" t="s">
        <v>119</v>
      </c>
      <c r="Q27" s="17">
        <v>20211</v>
      </c>
    </row>
    <row r="28" spans="1:17" x14ac:dyDescent="0.35">
      <c r="A28" s="15" t="s">
        <v>199</v>
      </c>
      <c r="B28" s="15" t="s">
        <v>200</v>
      </c>
      <c r="C28" s="15" t="s">
        <v>57</v>
      </c>
      <c r="D28" s="16">
        <v>32456</v>
      </c>
      <c r="E28" s="15">
        <f t="shared" ca="1" si="0"/>
        <v>37</v>
      </c>
      <c r="F28" s="16">
        <v>41972</v>
      </c>
      <c r="G28" s="15">
        <f t="shared" ca="1" si="1"/>
        <v>11</v>
      </c>
      <c r="H28" s="15" t="s">
        <v>168</v>
      </c>
      <c r="I28" s="15" t="s">
        <v>142</v>
      </c>
      <c r="J28" s="15" t="s">
        <v>108</v>
      </c>
      <c r="K28" s="15" t="s">
        <v>56</v>
      </c>
      <c r="L28" s="15" t="s">
        <v>164</v>
      </c>
      <c r="M28" s="15" t="s">
        <v>55</v>
      </c>
      <c r="N28" s="15" t="s">
        <v>101</v>
      </c>
      <c r="O28" s="15" t="s">
        <v>130</v>
      </c>
      <c r="P28" s="15" t="s">
        <v>119</v>
      </c>
      <c r="Q28" s="17">
        <v>43505</v>
      </c>
    </row>
    <row r="29" spans="1:17" x14ac:dyDescent="0.35">
      <c r="A29" s="15" t="s">
        <v>201</v>
      </c>
      <c r="B29" s="15" t="s">
        <v>202</v>
      </c>
      <c r="C29" s="15" t="s">
        <v>57</v>
      </c>
      <c r="D29" s="16">
        <v>27252</v>
      </c>
      <c r="E29" s="15">
        <f t="shared" ca="1" si="0"/>
        <v>52</v>
      </c>
      <c r="F29" s="16">
        <v>38553</v>
      </c>
      <c r="G29" s="15">
        <f t="shared" ca="1" si="1"/>
        <v>21</v>
      </c>
      <c r="H29" s="15" t="s">
        <v>106</v>
      </c>
      <c r="I29" s="15" t="s">
        <v>169</v>
      </c>
      <c r="J29" s="15" t="s">
        <v>115</v>
      </c>
      <c r="K29" s="15" t="s">
        <v>66</v>
      </c>
      <c r="L29" s="15" t="s">
        <v>138</v>
      </c>
      <c r="M29" s="15" t="s">
        <v>58</v>
      </c>
      <c r="N29" s="15" t="s">
        <v>101</v>
      </c>
      <c r="O29" s="15" t="s">
        <v>130</v>
      </c>
      <c r="P29" s="15" t="s">
        <v>103</v>
      </c>
      <c r="Q29" s="17">
        <v>15193</v>
      </c>
    </row>
    <row r="30" spans="1:17" x14ac:dyDescent="0.35">
      <c r="A30" s="15" t="s">
        <v>203</v>
      </c>
      <c r="B30" s="15" t="s">
        <v>105</v>
      </c>
      <c r="C30" s="15" t="s">
        <v>54</v>
      </c>
      <c r="D30" s="16">
        <v>37591</v>
      </c>
      <c r="E30" s="15">
        <f t="shared" ca="1" si="0"/>
        <v>23</v>
      </c>
      <c r="F30" s="16">
        <v>45787</v>
      </c>
      <c r="G30" s="15">
        <f t="shared" ca="1" si="1"/>
        <v>1</v>
      </c>
      <c r="H30" s="15" t="s">
        <v>126</v>
      </c>
      <c r="I30" s="15" t="s">
        <v>137</v>
      </c>
      <c r="J30" s="15" t="s">
        <v>108</v>
      </c>
      <c r="K30" s="15" t="s">
        <v>65</v>
      </c>
      <c r="L30" s="15" t="s">
        <v>204</v>
      </c>
      <c r="M30" s="15" t="s">
        <v>58</v>
      </c>
      <c r="N30" s="15" t="s">
        <v>101</v>
      </c>
      <c r="O30" s="15" t="s">
        <v>110</v>
      </c>
      <c r="P30" s="15" t="s">
        <v>103</v>
      </c>
      <c r="Q30" s="17">
        <v>43222</v>
      </c>
    </row>
    <row r="31" spans="1:17" x14ac:dyDescent="0.35">
      <c r="A31" s="15" t="s">
        <v>205</v>
      </c>
      <c r="B31" s="15" t="s">
        <v>206</v>
      </c>
      <c r="C31" s="15" t="s">
        <v>54</v>
      </c>
      <c r="D31" s="16">
        <v>34875</v>
      </c>
      <c r="E31" s="15">
        <f t="shared" ca="1" si="0"/>
        <v>31</v>
      </c>
      <c r="F31" s="16">
        <v>45029</v>
      </c>
      <c r="G31" s="15">
        <f t="shared" ca="1" si="1"/>
        <v>3</v>
      </c>
      <c r="H31" s="15" t="s">
        <v>141</v>
      </c>
      <c r="I31" s="15" t="s">
        <v>146</v>
      </c>
      <c r="J31" s="15" t="s">
        <v>108</v>
      </c>
      <c r="K31" s="15" t="s">
        <v>63</v>
      </c>
      <c r="L31" s="15" t="s">
        <v>147</v>
      </c>
      <c r="M31" s="15" t="s">
        <v>55</v>
      </c>
      <c r="N31" s="15" t="s">
        <v>101</v>
      </c>
      <c r="O31" s="15" t="s">
        <v>102</v>
      </c>
      <c r="P31" s="15" t="s">
        <v>119</v>
      </c>
      <c r="Q31" s="17">
        <v>45952</v>
      </c>
    </row>
    <row r="32" spans="1:17" x14ac:dyDescent="0.35">
      <c r="A32" s="15" t="s">
        <v>207</v>
      </c>
      <c r="B32" s="15" t="s">
        <v>208</v>
      </c>
      <c r="C32" s="15" t="s">
        <v>57</v>
      </c>
      <c r="D32" s="16">
        <v>26107</v>
      </c>
      <c r="E32" s="15">
        <f t="shared" ca="1" si="0"/>
        <v>55</v>
      </c>
      <c r="F32" s="16">
        <v>44198</v>
      </c>
      <c r="G32" s="15">
        <f t="shared" ca="1" si="1"/>
        <v>5</v>
      </c>
      <c r="H32" s="15" t="s">
        <v>97</v>
      </c>
      <c r="I32" s="15" t="s">
        <v>146</v>
      </c>
      <c r="J32" s="15" t="s">
        <v>108</v>
      </c>
      <c r="K32" s="15" t="s">
        <v>62</v>
      </c>
      <c r="L32" s="15" t="s">
        <v>209</v>
      </c>
      <c r="M32" s="15" t="s">
        <v>55</v>
      </c>
      <c r="N32" s="15" t="s">
        <v>101</v>
      </c>
      <c r="O32" s="15" t="s">
        <v>130</v>
      </c>
      <c r="P32" s="15" t="s">
        <v>119</v>
      </c>
      <c r="Q32" s="17">
        <v>38476</v>
      </c>
    </row>
    <row r="33" spans="1:17" x14ac:dyDescent="0.35">
      <c r="A33" s="15" t="s">
        <v>210</v>
      </c>
      <c r="B33" s="15" t="s">
        <v>211</v>
      </c>
      <c r="C33" s="15" t="s">
        <v>54</v>
      </c>
      <c r="D33" s="16">
        <v>25858</v>
      </c>
      <c r="E33" s="15">
        <f t="shared" ca="1" si="0"/>
        <v>55</v>
      </c>
      <c r="F33" s="16">
        <v>40047</v>
      </c>
      <c r="G33" s="15">
        <f t="shared" ca="1" si="1"/>
        <v>17</v>
      </c>
      <c r="H33" s="15" t="s">
        <v>157</v>
      </c>
      <c r="I33" s="15" t="s">
        <v>134</v>
      </c>
      <c r="J33" s="15" t="s">
        <v>108</v>
      </c>
      <c r="K33" s="15" t="s">
        <v>64</v>
      </c>
      <c r="L33" s="15" t="s">
        <v>185</v>
      </c>
      <c r="M33" s="15" t="s">
        <v>55</v>
      </c>
      <c r="N33" s="15" t="s">
        <v>101</v>
      </c>
      <c r="O33" s="15" t="s">
        <v>118</v>
      </c>
      <c r="P33" s="15" t="s">
        <v>119</v>
      </c>
      <c r="Q33" s="17">
        <v>50790</v>
      </c>
    </row>
    <row r="34" spans="1:17" x14ac:dyDescent="0.35">
      <c r="A34" s="15" t="s">
        <v>212</v>
      </c>
      <c r="B34" s="15" t="s">
        <v>213</v>
      </c>
      <c r="C34" s="15" t="s">
        <v>57</v>
      </c>
      <c r="D34" s="16">
        <v>32837</v>
      </c>
      <c r="E34" s="15">
        <f t="shared" ref="E34:E65" ca="1" si="2">DATEDIF(D34,TODAY(),"Y")</f>
        <v>36</v>
      </c>
      <c r="F34" s="16">
        <v>40150</v>
      </c>
      <c r="G34" s="15">
        <f t="shared" ref="G34:G65" ca="1" si="3">DATEDIF(F34,TODAY(),"Y")</f>
        <v>16</v>
      </c>
      <c r="H34" s="15" t="s">
        <v>133</v>
      </c>
      <c r="I34" s="15" t="s">
        <v>122</v>
      </c>
      <c r="J34" s="15" t="s">
        <v>115</v>
      </c>
      <c r="K34" s="15" t="s">
        <v>66</v>
      </c>
      <c r="L34" s="15" t="s">
        <v>214</v>
      </c>
      <c r="M34" s="15" t="s">
        <v>55</v>
      </c>
      <c r="N34" s="15" t="s">
        <v>101</v>
      </c>
      <c r="O34" s="15" t="s">
        <v>118</v>
      </c>
      <c r="P34" s="15" t="s">
        <v>103</v>
      </c>
      <c r="Q34" s="17">
        <v>19507</v>
      </c>
    </row>
    <row r="35" spans="1:17" x14ac:dyDescent="0.35">
      <c r="A35" s="15" t="s">
        <v>215</v>
      </c>
      <c r="B35" s="15" t="s">
        <v>216</v>
      </c>
      <c r="C35" s="15" t="s">
        <v>57</v>
      </c>
      <c r="D35" s="16">
        <v>26213</v>
      </c>
      <c r="E35" s="15">
        <f t="shared" ca="1" si="2"/>
        <v>54</v>
      </c>
      <c r="F35" s="16">
        <v>43618</v>
      </c>
      <c r="G35" s="15">
        <f t="shared" ca="1" si="3"/>
        <v>7</v>
      </c>
      <c r="H35" s="15" t="s">
        <v>141</v>
      </c>
      <c r="I35" s="15" t="s">
        <v>114</v>
      </c>
      <c r="J35" s="15" t="s">
        <v>115</v>
      </c>
      <c r="K35" s="15" t="s">
        <v>63</v>
      </c>
      <c r="L35" s="15" t="s">
        <v>151</v>
      </c>
      <c r="M35" s="15" t="s">
        <v>58</v>
      </c>
      <c r="N35" s="15" t="s">
        <v>101</v>
      </c>
      <c r="O35" s="15" t="s">
        <v>118</v>
      </c>
      <c r="P35" s="15" t="s">
        <v>103</v>
      </c>
      <c r="Q35" s="17">
        <v>18262</v>
      </c>
    </row>
    <row r="36" spans="1:17" x14ac:dyDescent="0.35">
      <c r="A36" s="15" t="s">
        <v>217</v>
      </c>
      <c r="B36" s="15" t="s">
        <v>218</v>
      </c>
      <c r="C36" s="15" t="s">
        <v>54</v>
      </c>
      <c r="D36" s="16">
        <v>37110</v>
      </c>
      <c r="E36" s="15">
        <f t="shared" ca="1" si="2"/>
        <v>25</v>
      </c>
      <c r="F36" s="16">
        <v>44623</v>
      </c>
      <c r="G36" s="15">
        <f t="shared" ca="1" si="3"/>
        <v>4</v>
      </c>
      <c r="H36" s="15" t="s">
        <v>113</v>
      </c>
      <c r="I36" s="15" t="s">
        <v>134</v>
      </c>
      <c r="J36" s="15" t="s">
        <v>108</v>
      </c>
      <c r="K36" s="15" t="s">
        <v>66</v>
      </c>
      <c r="L36" s="15" t="s">
        <v>214</v>
      </c>
      <c r="M36" s="15" t="s">
        <v>55</v>
      </c>
      <c r="N36" s="15" t="s">
        <v>219</v>
      </c>
      <c r="O36" s="15" t="s">
        <v>110</v>
      </c>
      <c r="P36" s="15" t="s">
        <v>103</v>
      </c>
      <c r="Q36" s="17">
        <v>49303</v>
      </c>
    </row>
    <row r="37" spans="1:17" x14ac:dyDescent="0.35">
      <c r="A37" s="15" t="s">
        <v>220</v>
      </c>
      <c r="B37" s="15" t="s">
        <v>221</v>
      </c>
      <c r="C37" s="15" t="s">
        <v>57</v>
      </c>
      <c r="D37" s="16">
        <v>34078</v>
      </c>
      <c r="E37" s="15">
        <f t="shared" ca="1" si="2"/>
        <v>33</v>
      </c>
      <c r="F37" s="16">
        <v>46117</v>
      </c>
      <c r="G37" s="15">
        <f t="shared" ca="1" si="3"/>
        <v>0</v>
      </c>
      <c r="H37" s="15" t="s">
        <v>133</v>
      </c>
      <c r="I37" s="15" t="s">
        <v>169</v>
      </c>
      <c r="J37" s="15" t="s">
        <v>115</v>
      </c>
      <c r="K37" s="15" t="s">
        <v>62</v>
      </c>
      <c r="L37" s="15" t="s">
        <v>100</v>
      </c>
      <c r="M37" s="15" t="s">
        <v>55</v>
      </c>
      <c r="N37" s="15" t="s">
        <v>101</v>
      </c>
      <c r="O37" s="15" t="s">
        <v>118</v>
      </c>
      <c r="P37" s="15" t="s">
        <v>103</v>
      </c>
      <c r="Q37" s="17">
        <v>20043</v>
      </c>
    </row>
    <row r="38" spans="1:17" x14ac:dyDescent="0.35">
      <c r="A38" s="15" t="s">
        <v>222</v>
      </c>
      <c r="B38" s="15" t="s">
        <v>223</v>
      </c>
      <c r="C38" s="15" t="s">
        <v>54</v>
      </c>
      <c r="D38" s="16">
        <v>31336</v>
      </c>
      <c r="E38" s="15">
        <f t="shared" ca="1" si="2"/>
        <v>40</v>
      </c>
      <c r="F38" s="16">
        <v>46065</v>
      </c>
      <c r="G38" s="15">
        <f t="shared" ca="1" si="3"/>
        <v>0</v>
      </c>
      <c r="H38" s="15" t="s">
        <v>141</v>
      </c>
      <c r="I38" s="15" t="s">
        <v>107</v>
      </c>
      <c r="J38" s="15" t="s">
        <v>108</v>
      </c>
      <c r="K38" s="15" t="s">
        <v>56</v>
      </c>
      <c r="L38" s="15" t="s">
        <v>116</v>
      </c>
      <c r="M38" s="15" t="s">
        <v>55</v>
      </c>
      <c r="N38" s="15" t="s">
        <v>101</v>
      </c>
      <c r="O38" s="15" t="s">
        <v>102</v>
      </c>
      <c r="P38" s="15" t="s">
        <v>119</v>
      </c>
      <c r="Q38" s="17">
        <v>50630</v>
      </c>
    </row>
    <row r="39" spans="1:17" x14ac:dyDescent="0.35">
      <c r="A39" s="15" t="s">
        <v>224</v>
      </c>
      <c r="B39" s="15" t="s">
        <v>225</v>
      </c>
      <c r="C39" s="15" t="s">
        <v>54</v>
      </c>
      <c r="D39" s="16">
        <v>33127</v>
      </c>
      <c r="E39" s="15">
        <f t="shared" ca="1" si="2"/>
        <v>35</v>
      </c>
      <c r="F39" s="16">
        <v>43657</v>
      </c>
      <c r="G39" s="15">
        <f t="shared" ca="1" si="3"/>
        <v>7</v>
      </c>
      <c r="H39" s="15" t="s">
        <v>106</v>
      </c>
      <c r="I39" s="15" t="s">
        <v>192</v>
      </c>
      <c r="J39" s="15" t="s">
        <v>115</v>
      </c>
      <c r="K39" s="15" t="s">
        <v>59</v>
      </c>
      <c r="L39" s="15" t="s">
        <v>181</v>
      </c>
      <c r="M39" s="15" t="s">
        <v>55</v>
      </c>
      <c r="N39" s="15" t="s">
        <v>101</v>
      </c>
      <c r="O39" s="15" t="s">
        <v>118</v>
      </c>
      <c r="P39" s="15" t="s">
        <v>103</v>
      </c>
      <c r="Q39" s="17">
        <v>21102</v>
      </c>
    </row>
    <row r="40" spans="1:17" x14ac:dyDescent="0.35">
      <c r="A40" s="15" t="s">
        <v>226</v>
      </c>
      <c r="B40" s="15" t="s">
        <v>227</v>
      </c>
      <c r="C40" s="15" t="s">
        <v>57</v>
      </c>
      <c r="D40" s="16">
        <v>32454</v>
      </c>
      <c r="E40" s="15">
        <f t="shared" ca="1" si="2"/>
        <v>37</v>
      </c>
      <c r="F40" s="16">
        <v>41921</v>
      </c>
      <c r="G40" s="15">
        <f t="shared" ca="1" si="3"/>
        <v>11</v>
      </c>
      <c r="H40" s="15" t="s">
        <v>141</v>
      </c>
      <c r="I40" s="15" t="s">
        <v>192</v>
      </c>
      <c r="J40" s="15" t="s">
        <v>115</v>
      </c>
      <c r="K40" s="15" t="s">
        <v>65</v>
      </c>
      <c r="L40" s="15" t="s">
        <v>109</v>
      </c>
      <c r="M40" s="15" t="s">
        <v>55</v>
      </c>
      <c r="N40" s="15" t="s">
        <v>101</v>
      </c>
      <c r="O40" s="15" t="s">
        <v>102</v>
      </c>
      <c r="P40" s="15" t="s">
        <v>119</v>
      </c>
      <c r="Q40" s="17">
        <v>18022</v>
      </c>
    </row>
    <row r="41" spans="1:17" x14ac:dyDescent="0.35">
      <c r="A41" s="15" t="s">
        <v>228</v>
      </c>
      <c r="B41" s="15" t="s">
        <v>229</v>
      </c>
      <c r="C41" s="15" t="s">
        <v>57</v>
      </c>
      <c r="D41" s="16">
        <v>27817</v>
      </c>
      <c r="E41" s="15">
        <f t="shared" ca="1" si="2"/>
        <v>50</v>
      </c>
      <c r="F41" s="16">
        <v>42347</v>
      </c>
      <c r="G41" s="15">
        <f t="shared" ca="1" si="3"/>
        <v>10</v>
      </c>
      <c r="H41" s="15" t="s">
        <v>163</v>
      </c>
      <c r="I41" s="15" t="s">
        <v>134</v>
      </c>
      <c r="J41" s="15" t="s">
        <v>108</v>
      </c>
      <c r="K41" s="15" t="s">
        <v>62</v>
      </c>
      <c r="L41" s="15" t="s">
        <v>154</v>
      </c>
      <c r="M41" s="15" t="s">
        <v>55</v>
      </c>
      <c r="N41" s="15" t="s">
        <v>101</v>
      </c>
      <c r="O41" s="15" t="s">
        <v>118</v>
      </c>
      <c r="P41" s="15" t="s">
        <v>119</v>
      </c>
      <c r="Q41" s="17">
        <v>37163</v>
      </c>
    </row>
    <row r="42" spans="1:17" x14ac:dyDescent="0.35">
      <c r="A42" s="15" t="s">
        <v>230</v>
      </c>
      <c r="B42" s="15" t="s">
        <v>231</v>
      </c>
      <c r="C42" s="15" t="s">
        <v>57</v>
      </c>
      <c r="D42" s="16">
        <v>35420</v>
      </c>
      <c r="E42" s="15">
        <f t="shared" ca="1" si="2"/>
        <v>29</v>
      </c>
      <c r="F42" s="16">
        <v>44184</v>
      </c>
      <c r="G42" s="15">
        <f t="shared" ca="1" si="3"/>
        <v>5</v>
      </c>
      <c r="H42" s="15" t="s">
        <v>133</v>
      </c>
      <c r="I42" s="15" t="s">
        <v>134</v>
      </c>
      <c r="J42" s="15" t="s">
        <v>108</v>
      </c>
      <c r="K42" s="15" t="s">
        <v>62</v>
      </c>
      <c r="L42" s="15" t="s">
        <v>100</v>
      </c>
      <c r="M42" s="15" t="s">
        <v>55</v>
      </c>
      <c r="N42" s="15" t="s">
        <v>101</v>
      </c>
      <c r="O42" s="15" t="s">
        <v>102</v>
      </c>
      <c r="P42" s="15" t="s">
        <v>119</v>
      </c>
      <c r="Q42" s="17">
        <v>37641</v>
      </c>
    </row>
    <row r="43" spans="1:17" x14ac:dyDescent="0.35">
      <c r="A43" s="15" t="s">
        <v>232</v>
      </c>
      <c r="B43" s="15" t="s">
        <v>233</v>
      </c>
      <c r="C43" s="15" t="s">
        <v>54</v>
      </c>
      <c r="D43" s="16">
        <v>30602</v>
      </c>
      <c r="E43" s="15">
        <f t="shared" ca="1" si="2"/>
        <v>42</v>
      </c>
      <c r="F43" s="16">
        <v>44110</v>
      </c>
      <c r="G43" s="15">
        <f t="shared" ca="1" si="3"/>
        <v>5</v>
      </c>
      <c r="H43" s="15" t="s">
        <v>106</v>
      </c>
      <c r="I43" s="15" t="s">
        <v>107</v>
      </c>
      <c r="J43" s="15" t="s">
        <v>108</v>
      </c>
      <c r="K43" s="15" t="s">
        <v>66</v>
      </c>
      <c r="L43" s="15" t="s">
        <v>214</v>
      </c>
      <c r="M43" s="15" t="s">
        <v>55</v>
      </c>
      <c r="N43" s="15" t="s">
        <v>101</v>
      </c>
      <c r="O43" s="15" t="s">
        <v>118</v>
      </c>
      <c r="P43" s="15" t="s">
        <v>119</v>
      </c>
      <c r="Q43" s="17">
        <v>35554</v>
      </c>
    </row>
    <row r="44" spans="1:17" x14ac:dyDescent="0.35">
      <c r="A44" s="15" t="s">
        <v>234</v>
      </c>
      <c r="B44" s="15" t="s">
        <v>153</v>
      </c>
      <c r="C44" s="15" t="s">
        <v>57</v>
      </c>
      <c r="D44" s="16">
        <v>26485</v>
      </c>
      <c r="E44" s="15">
        <f t="shared" ca="1" si="2"/>
        <v>54</v>
      </c>
      <c r="F44" s="16">
        <v>45173</v>
      </c>
      <c r="G44" s="15">
        <f t="shared" ca="1" si="3"/>
        <v>3</v>
      </c>
      <c r="H44" s="15" t="s">
        <v>126</v>
      </c>
      <c r="I44" s="15" t="s">
        <v>134</v>
      </c>
      <c r="J44" s="15" t="s">
        <v>108</v>
      </c>
      <c r="K44" s="15" t="s">
        <v>64</v>
      </c>
      <c r="L44" s="15" t="s">
        <v>235</v>
      </c>
      <c r="M44" s="15" t="s">
        <v>55</v>
      </c>
      <c r="N44" s="15" t="s">
        <v>101</v>
      </c>
      <c r="O44" s="15" t="s">
        <v>118</v>
      </c>
      <c r="P44" s="15" t="s">
        <v>119</v>
      </c>
      <c r="Q44" s="17">
        <v>33879</v>
      </c>
    </row>
    <row r="45" spans="1:17" x14ac:dyDescent="0.35">
      <c r="A45" s="15" t="s">
        <v>236</v>
      </c>
      <c r="B45" s="15" t="s">
        <v>237</v>
      </c>
      <c r="C45" s="15" t="s">
        <v>54</v>
      </c>
      <c r="D45" s="16">
        <v>25038</v>
      </c>
      <c r="E45" s="15">
        <f t="shared" ca="1" si="2"/>
        <v>58</v>
      </c>
      <c r="F45" s="16">
        <v>43055</v>
      </c>
      <c r="G45" s="15">
        <f t="shared" ca="1" si="3"/>
        <v>8</v>
      </c>
      <c r="H45" s="15" t="s">
        <v>97</v>
      </c>
      <c r="I45" s="15" t="s">
        <v>137</v>
      </c>
      <c r="J45" s="15" t="s">
        <v>108</v>
      </c>
      <c r="K45" s="15" t="s">
        <v>61</v>
      </c>
      <c r="L45" s="15" t="s">
        <v>238</v>
      </c>
      <c r="M45" s="15" t="s">
        <v>58</v>
      </c>
      <c r="N45" s="15" t="s">
        <v>101</v>
      </c>
      <c r="O45" s="15" t="s">
        <v>102</v>
      </c>
      <c r="P45" s="15" t="s">
        <v>103</v>
      </c>
      <c r="Q45" s="17">
        <v>39164</v>
      </c>
    </row>
    <row r="46" spans="1:17" x14ac:dyDescent="0.35">
      <c r="A46" s="15" t="s">
        <v>239</v>
      </c>
      <c r="B46" s="15" t="s">
        <v>240</v>
      </c>
      <c r="C46" s="15" t="s">
        <v>57</v>
      </c>
      <c r="D46" s="16">
        <v>27282</v>
      </c>
      <c r="E46" s="15">
        <f t="shared" ca="1" si="2"/>
        <v>51</v>
      </c>
      <c r="F46" s="16">
        <v>44997</v>
      </c>
      <c r="G46" s="15">
        <f t="shared" ca="1" si="3"/>
        <v>3</v>
      </c>
      <c r="H46" s="15" t="s">
        <v>163</v>
      </c>
      <c r="I46" s="15" t="s">
        <v>142</v>
      </c>
      <c r="J46" s="15" t="s">
        <v>108</v>
      </c>
      <c r="K46" s="15" t="s">
        <v>59</v>
      </c>
      <c r="L46" s="15" t="s">
        <v>123</v>
      </c>
      <c r="M46" s="15" t="s">
        <v>55</v>
      </c>
      <c r="N46" s="15" t="s">
        <v>101</v>
      </c>
      <c r="O46" s="15" t="s">
        <v>118</v>
      </c>
      <c r="P46" s="15" t="s">
        <v>103</v>
      </c>
      <c r="Q46" s="17">
        <v>36132</v>
      </c>
    </row>
    <row r="47" spans="1:17" x14ac:dyDescent="0.35">
      <c r="A47" s="15" t="s">
        <v>241</v>
      </c>
      <c r="B47" s="15" t="s">
        <v>242</v>
      </c>
      <c r="C47" s="15" t="s">
        <v>54</v>
      </c>
      <c r="D47" s="16">
        <v>29841</v>
      </c>
      <c r="E47" s="15">
        <f t="shared" ca="1" si="2"/>
        <v>44</v>
      </c>
      <c r="F47" s="16">
        <v>43011</v>
      </c>
      <c r="G47" s="15">
        <f t="shared" ca="1" si="3"/>
        <v>8</v>
      </c>
      <c r="H47" s="15" t="s">
        <v>168</v>
      </c>
      <c r="I47" s="15" t="s">
        <v>134</v>
      </c>
      <c r="J47" s="15" t="s">
        <v>108</v>
      </c>
      <c r="K47" s="15" t="s">
        <v>62</v>
      </c>
      <c r="L47" s="15" t="s">
        <v>209</v>
      </c>
      <c r="M47" s="15" t="s">
        <v>55</v>
      </c>
      <c r="N47" s="15" t="s">
        <v>101</v>
      </c>
      <c r="O47" s="15" t="s">
        <v>118</v>
      </c>
      <c r="P47" s="15" t="s">
        <v>119</v>
      </c>
      <c r="Q47" s="17">
        <v>31251</v>
      </c>
    </row>
    <row r="48" spans="1:17" x14ac:dyDescent="0.35">
      <c r="A48" s="15" t="s">
        <v>243</v>
      </c>
      <c r="B48" s="15" t="s">
        <v>244</v>
      </c>
      <c r="C48" s="15" t="s">
        <v>54</v>
      </c>
      <c r="D48" s="16">
        <v>29609</v>
      </c>
      <c r="E48" s="15">
        <f t="shared" ca="1" si="2"/>
        <v>45</v>
      </c>
      <c r="F48" s="16">
        <v>38620</v>
      </c>
      <c r="G48" s="15">
        <f t="shared" ca="1" si="3"/>
        <v>20</v>
      </c>
      <c r="H48" s="15" t="s">
        <v>160</v>
      </c>
      <c r="I48" s="15" t="s">
        <v>142</v>
      </c>
      <c r="J48" s="15" t="s">
        <v>108</v>
      </c>
      <c r="K48" s="15" t="s">
        <v>64</v>
      </c>
      <c r="L48" s="15" t="s">
        <v>235</v>
      </c>
      <c r="M48" s="15" t="s">
        <v>55</v>
      </c>
      <c r="N48" s="15" t="s">
        <v>101</v>
      </c>
      <c r="O48" s="15" t="s">
        <v>118</v>
      </c>
      <c r="P48" s="15" t="s">
        <v>119</v>
      </c>
      <c r="Q48" s="17">
        <v>51035</v>
      </c>
    </row>
    <row r="49" spans="1:17" x14ac:dyDescent="0.35">
      <c r="A49" s="15" t="s">
        <v>245</v>
      </c>
      <c r="B49" s="15" t="s">
        <v>246</v>
      </c>
      <c r="C49" s="15" t="s">
        <v>54</v>
      </c>
      <c r="D49" s="16">
        <v>26007</v>
      </c>
      <c r="E49" s="15">
        <f t="shared" ca="1" si="2"/>
        <v>55</v>
      </c>
      <c r="F49" s="16">
        <v>38841</v>
      </c>
      <c r="G49" s="15">
        <f t="shared" ca="1" si="3"/>
        <v>20</v>
      </c>
      <c r="H49" s="15" t="s">
        <v>97</v>
      </c>
      <c r="I49" s="15" t="s">
        <v>177</v>
      </c>
      <c r="J49" s="15" t="s">
        <v>99</v>
      </c>
      <c r="K49" s="15" t="s">
        <v>62</v>
      </c>
      <c r="L49" s="15" t="s">
        <v>154</v>
      </c>
      <c r="M49" s="15" t="s">
        <v>58</v>
      </c>
      <c r="N49" s="15" t="s">
        <v>101</v>
      </c>
      <c r="O49" s="15" t="s">
        <v>102</v>
      </c>
      <c r="P49" s="15" t="s">
        <v>103</v>
      </c>
      <c r="Q49" s="17">
        <v>98996</v>
      </c>
    </row>
    <row r="50" spans="1:17" x14ac:dyDescent="0.35">
      <c r="A50" s="15" t="s">
        <v>247</v>
      </c>
      <c r="B50" s="15" t="s">
        <v>248</v>
      </c>
      <c r="C50" s="15" t="s">
        <v>57</v>
      </c>
      <c r="D50" s="16">
        <v>34636</v>
      </c>
      <c r="E50" s="15">
        <f t="shared" ca="1" si="2"/>
        <v>31</v>
      </c>
      <c r="F50" s="16">
        <v>45579</v>
      </c>
      <c r="G50" s="15">
        <f t="shared" ca="1" si="3"/>
        <v>1</v>
      </c>
      <c r="H50" s="15" t="s">
        <v>163</v>
      </c>
      <c r="I50" s="15" t="s">
        <v>107</v>
      </c>
      <c r="J50" s="15" t="s">
        <v>108</v>
      </c>
      <c r="K50" s="15" t="s">
        <v>56</v>
      </c>
      <c r="L50" s="15" t="s">
        <v>178</v>
      </c>
      <c r="M50" s="15" t="s">
        <v>55</v>
      </c>
      <c r="N50" s="15" t="s">
        <v>101</v>
      </c>
      <c r="O50" s="15" t="s">
        <v>118</v>
      </c>
      <c r="P50" s="15" t="s">
        <v>103</v>
      </c>
      <c r="Q50" s="17">
        <v>36204</v>
      </c>
    </row>
    <row r="51" spans="1:17" x14ac:dyDescent="0.35">
      <c r="A51" s="15" t="s">
        <v>249</v>
      </c>
      <c r="B51" s="15" t="s">
        <v>250</v>
      </c>
      <c r="C51" s="15" t="s">
        <v>54</v>
      </c>
      <c r="D51" s="16">
        <v>27811</v>
      </c>
      <c r="E51" s="15">
        <f t="shared" ca="1" si="2"/>
        <v>50</v>
      </c>
      <c r="F51" s="16">
        <v>43148</v>
      </c>
      <c r="G51" s="15">
        <f t="shared" ca="1" si="3"/>
        <v>8</v>
      </c>
      <c r="H51" s="15" t="s">
        <v>106</v>
      </c>
      <c r="I51" s="15" t="s">
        <v>177</v>
      </c>
      <c r="J51" s="15" t="s">
        <v>99</v>
      </c>
      <c r="K51" s="15" t="s">
        <v>56</v>
      </c>
      <c r="L51" s="15" t="s">
        <v>178</v>
      </c>
      <c r="M51" s="15" t="s">
        <v>55</v>
      </c>
      <c r="N51" s="15" t="s">
        <v>101</v>
      </c>
      <c r="O51" s="15" t="s">
        <v>118</v>
      </c>
      <c r="P51" s="15" t="s">
        <v>119</v>
      </c>
      <c r="Q51" s="17">
        <v>65979</v>
      </c>
    </row>
    <row r="52" spans="1:17" x14ac:dyDescent="0.35">
      <c r="A52" s="15" t="s">
        <v>251</v>
      </c>
      <c r="B52" s="15" t="s">
        <v>252</v>
      </c>
      <c r="C52" s="15" t="s">
        <v>54</v>
      </c>
      <c r="D52" s="16">
        <v>32289</v>
      </c>
      <c r="E52" s="15">
        <f t="shared" ca="1" si="2"/>
        <v>38</v>
      </c>
      <c r="F52" s="16">
        <v>40877</v>
      </c>
      <c r="G52" s="15">
        <f t="shared" ca="1" si="3"/>
        <v>14</v>
      </c>
      <c r="H52" s="15" t="s">
        <v>160</v>
      </c>
      <c r="I52" s="15" t="s">
        <v>134</v>
      </c>
      <c r="J52" s="15" t="s">
        <v>108</v>
      </c>
      <c r="K52" s="15" t="s">
        <v>64</v>
      </c>
      <c r="L52" s="15" t="s">
        <v>253</v>
      </c>
      <c r="M52" s="15" t="s">
        <v>55</v>
      </c>
      <c r="N52" s="15" t="s">
        <v>101</v>
      </c>
      <c r="O52" s="15" t="s">
        <v>102</v>
      </c>
      <c r="P52" s="15" t="s">
        <v>103</v>
      </c>
      <c r="Q52" s="17">
        <v>44862</v>
      </c>
    </row>
    <row r="53" spans="1:17" x14ac:dyDescent="0.35">
      <c r="A53" s="15" t="s">
        <v>254</v>
      </c>
      <c r="B53" s="15" t="s">
        <v>255</v>
      </c>
      <c r="C53" s="15" t="s">
        <v>57</v>
      </c>
      <c r="D53" s="16">
        <v>29213</v>
      </c>
      <c r="E53" s="15">
        <f t="shared" ca="1" si="2"/>
        <v>46</v>
      </c>
      <c r="F53" s="16">
        <v>42852</v>
      </c>
      <c r="G53" s="15">
        <f t="shared" ca="1" si="3"/>
        <v>9</v>
      </c>
      <c r="H53" s="15" t="s">
        <v>133</v>
      </c>
      <c r="I53" s="15" t="s">
        <v>134</v>
      </c>
      <c r="J53" s="15" t="s">
        <v>108</v>
      </c>
      <c r="K53" s="15" t="s">
        <v>62</v>
      </c>
      <c r="L53" s="15" t="s">
        <v>209</v>
      </c>
      <c r="M53" s="15" t="s">
        <v>58</v>
      </c>
      <c r="N53" s="15" t="s">
        <v>101</v>
      </c>
      <c r="O53" s="15" t="s">
        <v>102</v>
      </c>
      <c r="P53" s="15" t="s">
        <v>103</v>
      </c>
      <c r="Q53" s="17">
        <v>50880</v>
      </c>
    </row>
    <row r="54" spans="1:17" x14ac:dyDescent="0.35">
      <c r="A54" s="15" t="s">
        <v>256</v>
      </c>
      <c r="B54" s="15" t="s">
        <v>257</v>
      </c>
      <c r="C54" s="15" t="s">
        <v>54</v>
      </c>
      <c r="D54" s="16">
        <v>32398</v>
      </c>
      <c r="E54" s="15">
        <f t="shared" ca="1" si="2"/>
        <v>37</v>
      </c>
      <c r="F54" s="16">
        <v>46111</v>
      </c>
      <c r="G54" s="15">
        <f t="shared" ca="1" si="3"/>
        <v>0</v>
      </c>
      <c r="H54" s="15" t="s">
        <v>141</v>
      </c>
      <c r="I54" s="15" t="s">
        <v>258</v>
      </c>
      <c r="J54" s="15" t="s">
        <v>259</v>
      </c>
      <c r="K54" s="15" t="s">
        <v>56</v>
      </c>
      <c r="L54" s="15" t="s">
        <v>178</v>
      </c>
      <c r="M54" s="15" t="s">
        <v>55</v>
      </c>
      <c r="N54" s="15" t="s">
        <v>101</v>
      </c>
      <c r="O54" s="15" t="s">
        <v>102</v>
      </c>
      <c r="P54" s="15" t="s">
        <v>103</v>
      </c>
      <c r="Q54" s="17">
        <v>140181</v>
      </c>
    </row>
    <row r="55" spans="1:17" x14ac:dyDescent="0.35">
      <c r="A55" s="15" t="s">
        <v>260</v>
      </c>
      <c r="B55" s="15" t="s">
        <v>261</v>
      </c>
      <c r="C55" s="15" t="s">
        <v>54</v>
      </c>
      <c r="D55" s="16">
        <v>25981</v>
      </c>
      <c r="E55" s="15">
        <f t="shared" ca="1" si="2"/>
        <v>55</v>
      </c>
      <c r="F55" s="16">
        <v>40616</v>
      </c>
      <c r="G55" s="15">
        <f t="shared" ca="1" si="3"/>
        <v>15</v>
      </c>
      <c r="H55" s="15" t="s">
        <v>163</v>
      </c>
      <c r="I55" s="15" t="s">
        <v>137</v>
      </c>
      <c r="J55" s="15" t="s">
        <v>108</v>
      </c>
      <c r="K55" s="15" t="s">
        <v>63</v>
      </c>
      <c r="L55" s="15" t="s">
        <v>151</v>
      </c>
      <c r="M55" s="15" t="s">
        <v>55</v>
      </c>
      <c r="N55" s="15" t="s">
        <v>101</v>
      </c>
      <c r="O55" s="15" t="s">
        <v>102</v>
      </c>
      <c r="P55" s="15" t="s">
        <v>103</v>
      </c>
      <c r="Q55" s="17">
        <v>53811</v>
      </c>
    </row>
    <row r="56" spans="1:17" x14ac:dyDescent="0.35">
      <c r="A56" s="15" t="s">
        <v>262</v>
      </c>
      <c r="B56" s="15" t="s">
        <v>263</v>
      </c>
      <c r="C56" s="15" t="s">
        <v>54</v>
      </c>
      <c r="D56" s="16">
        <v>30492</v>
      </c>
      <c r="E56" s="15">
        <f t="shared" ca="1" si="2"/>
        <v>43</v>
      </c>
      <c r="F56" s="16">
        <v>41076</v>
      </c>
      <c r="G56" s="15">
        <f t="shared" ca="1" si="3"/>
        <v>14</v>
      </c>
      <c r="H56" s="15" t="s">
        <v>126</v>
      </c>
      <c r="I56" s="15" t="s">
        <v>134</v>
      </c>
      <c r="J56" s="15" t="s">
        <v>108</v>
      </c>
      <c r="K56" s="15" t="s">
        <v>56</v>
      </c>
      <c r="L56" s="15" t="s">
        <v>178</v>
      </c>
      <c r="M56" s="15" t="s">
        <v>58</v>
      </c>
      <c r="N56" s="15" t="s">
        <v>101</v>
      </c>
      <c r="O56" s="15" t="s">
        <v>118</v>
      </c>
      <c r="P56" s="15" t="s">
        <v>119</v>
      </c>
      <c r="Q56" s="17">
        <v>42920</v>
      </c>
    </row>
    <row r="57" spans="1:17" x14ac:dyDescent="0.35">
      <c r="A57" s="15" t="s">
        <v>264</v>
      </c>
      <c r="B57" s="15" t="s">
        <v>265</v>
      </c>
      <c r="C57" s="15" t="s">
        <v>57</v>
      </c>
      <c r="D57" s="16">
        <v>35711</v>
      </c>
      <c r="E57" s="15">
        <f t="shared" ca="1" si="2"/>
        <v>28</v>
      </c>
      <c r="F57" s="16">
        <v>44844</v>
      </c>
      <c r="G57" s="15">
        <f t="shared" ca="1" si="3"/>
        <v>3</v>
      </c>
      <c r="H57" s="15" t="s">
        <v>157</v>
      </c>
      <c r="I57" s="15" t="s">
        <v>266</v>
      </c>
      <c r="J57" s="15" t="s">
        <v>99</v>
      </c>
      <c r="K57" s="15" t="s">
        <v>62</v>
      </c>
      <c r="L57" s="15" t="s">
        <v>154</v>
      </c>
      <c r="M57" s="15" t="s">
        <v>58</v>
      </c>
      <c r="N57" s="15" t="s">
        <v>101</v>
      </c>
      <c r="O57" s="15" t="s">
        <v>102</v>
      </c>
      <c r="P57" s="15" t="s">
        <v>119</v>
      </c>
      <c r="Q57" s="17">
        <v>92461</v>
      </c>
    </row>
    <row r="58" spans="1:17" x14ac:dyDescent="0.35">
      <c r="A58" s="15" t="s">
        <v>267</v>
      </c>
      <c r="B58" s="15" t="s">
        <v>268</v>
      </c>
      <c r="C58" s="15" t="s">
        <v>54</v>
      </c>
      <c r="D58" s="16">
        <v>26063</v>
      </c>
      <c r="E58" s="15">
        <f t="shared" ca="1" si="2"/>
        <v>55</v>
      </c>
      <c r="F58" s="16">
        <v>42199</v>
      </c>
      <c r="G58" s="15">
        <f t="shared" ca="1" si="3"/>
        <v>11</v>
      </c>
      <c r="H58" s="15" t="s">
        <v>160</v>
      </c>
      <c r="I58" s="15" t="s">
        <v>134</v>
      </c>
      <c r="J58" s="15" t="s">
        <v>108</v>
      </c>
      <c r="K58" s="15" t="s">
        <v>63</v>
      </c>
      <c r="L58" s="15" t="s">
        <v>151</v>
      </c>
      <c r="M58" s="15" t="s">
        <v>55</v>
      </c>
      <c r="N58" s="15" t="s">
        <v>101</v>
      </c>
      <c r="O58" s="15" t="s">
        <v>130</v>
      </c>
      <c r="P58" s="15" t="s">
        <v>103</v>
      </c>
      <c r="Q58" s="17">
        <v>48422</v>
      </c>
    </row>
    <row r="59" spans="1:17" x14ac:dyDescent="0.35">
      <c r="A59" s="15" t="s">
        <v>269</v>
      </c>
      <c r="B59" s="15" t="s">
        <v>270</v>
      </c>
      <c r="C59" s="15" t="s">
        <v>57</v>
      </c>
      <c r="D59" s="16">
        <v>28684</v>
      </c>
      <c r="E59" s="15">
        <f t="shared" ca="1" si="2"/>
        <v>48</v>
      </c>
      <c r="F59" s="16">
        <v>43523</v>
      </c>
      <c r="G59" s="15">
        <f t="shared" ca="1" si="3"/>
        <v>7</v>
      </c>
      <c r="H59" s="15" t="s">
        <v>106</v>
      </c>
      <c r="I59" s="15" t="s">
        <v>134</v>
      </c>
      <c r="J59" s="15" t="s">
        <v>108</v>
      </c>
      <c r="K59" s="15" t="s">
        <v>65</v>
      </c>
      <c r="L59" s="15" t="s">
        <v>204</v>
      </c>
      <c r="M59" s="15" t="s">
        <v>58</v>
      </c>
      <c r="N59" s="15" t="s">
        <v>101</v>
      </c>
      <c r="O59" s="15" t="s">
        <v>110</v>
      </c>
      <c r="P59" s="15" t="s">
        <v>103</v>
      </c>
      <c r="Q59" s="17">
        <v>52470</v>
      </c>
    </row>
    <row r="60" spans="1:17" x14ac:dyDescent="0.35">
      <c r="A60" s="15" t="s">
        <v>271</v>
      </c>
      <c r="B60" s="15" t="s">
        <v>223</v>
      </c>
      <c r="C60" s="15" t="s">
        <v>54</v>
      </c>
      <c r="D60" s="16">
        <v>29644</v>
      </c>
      <c r="E60" s="15">
        <f t="shared" ca="1" si="2"/>
        <v>45</v>
      </c>
      <c r="F60" s="16">
        <v>41289</v>
      </c>
      <c r="G60" s="15">
        <f t="shared" ca="1" si="3"/>
        <v>13</v>
      </c>
      <c r="H60" s="15" t="s">
        <v>106</v>
      </c>
      <c r="I60" s="15" t="s">
        <v>107</v>
      </c>
      <c r="J60" s="15" t="s">
        <v>108</v>
      </c>
      <c r="K60" s="15" t="s">
        <v>59</v>
      </c>
      <c r="L60" s="15" t="s">
        <v>195</v>
      </c>
      <c r="M60" s="15" t="s">
        <v>58</v>
      </c>
      <c r="N60" s="15" t="s">
        <v>101</v>
      </c>
      <c r="O60" s="15" t="s">
        <v>110</v>
      </c>
      <c r="P60" s="15" t="s">
        <v>103</v>
      </c>
      <c r="Q60" s="17">
        <v>45405</v>
      </c>
    </row>
    <row r="61" spans="1:17" x14ac:dyDescent="0.35">
      <c r="A61" s="15" t="s">
        <v>272</v>
      </c>
      <c r="B61" s="15" t="s">
        <v>273</v>
      </c>
      <c r="C61" s="15" t="s">
        <v>54</v>
      </c>
      <c r="D61" s="16">
        <v>32393</v>
      </c>
      <c r="E61" s="15">
        <f t="shared" ca="1" si="2"/>
        <v>37</v>
      </c>
      <c r="F61" s="16">
        <v>43578</v>
      </c>
      <c r="G61" s="15">
        <f t="shared" ca="1" si="3"/>
        <v>7</v>
      </c>
      <c r="H61" s="15" t="s">
        <v>141</v>
      </c>
      <c r="I61" s="15" t="s">
        <v>169</v>
      </c>
      <c r="J61" s="15" t="s">
        <v>115</v>
      </c>
      <c r="K61" s="15" t="s">
        <v>59</v>
      </c>
      <c r="L61" s="15" t="s">
        <v>181</v>
      </c>
      <c r="M61" s="15" t="s">
        <v>55</v>
      </c>
      <c r="N61" s="15" t="s">
        <v>101</v>
      </c>
      <c r="O61" s="15" t="s">
        <v>118</v>
      </c>
      <c r="P61" s="15" t="s">
        <v>103</v>
      </c>
      <c r="Q61" s="17">
        <v>21622</v>
      </c>
    </row>
    <row r="62" spans="1:17" x14ac:dyDescent="0.35">
      <c r="A62" s="15" t="s">
        <v>274</v>
      </c>
      <c r="B62" s="15" t="s">
        <v>275</v>
      </c>
      <c r="C62" s="15" t="s">
        <v>57</v>
      </c>
      <c r="D62" s="16">
        <v>28101</v>
      </c>
      <c r="E62" s="15">
        <f t="shared" ca="1" si="2"/>
        <v>49</v>
      </c>
      <c r="F62" s="16">
        <v>41504</v>
      </c>
      <c r="G62" s="15">
        <f t="shared" ca="1" si="3"/>
        <v>13</v>
      </c>
      <c r="H62" s="15" t="s">
        <v>163</v>
      </c>
      <c r="I62" s="15" t="s">
        <v>134</v>
      </c>
      <c r="J62" s="15" t="s">
        <v>108</v>
      </c>
      <c r="K62" s="15" t="s">
        <v>66</v>
      </c>
      <c r="L62" s="15" t="s">
        <v>198</v>
      </c>
      <c r="M62" s="15" t="s">
        <v>58</v>
      </c>
      <c r="N62" s="15" t="s">
        <v>101</v>
      </c>
      <c r="O62" s="15" t="s">
        <v>118</v>
      </c>
      <c r="P62" s="15" t="s">
        <v>119</v>
      </c>
      <c r="Q62" s="17">
        <v>40496</v>
      </c>
    </row>
    <row r="63" spans="1:17" x14ac:dyDescent="0.35">
      <c r="A63" s="15" t="s">
        <v>276</v>
      </c>
      <c r="B63" s="15" t="s">
        <v>277</v>
      </c>
      <c r="C63" s="15" t="s">
        <v>54</v>
      </c>
      <c r="D63" s="16">
        <v>34773</v>
      </c>
      <c r="E63" s="15">
        <f t="shared" ca="1" si="2"/>
        <v>31</v>
      </c>
      <c r="F63" s="16">
        <v>44457</v>
      </c>
      <c r="G63" s="15">
        <f t="shared" ca="1" si="3"/>
        <v>4</v>
      </c>
      <c r="H63" s="15" t="s">
        <v>97</v>
      </c>
      <c r="I63" s="15" t="s">
        <v>146</v>
      </c>
      <c r="J63" s="15" t="s">
        <v>108</v>
      </c>
      <c r="K63" s="15" t="s">
        <v>61</v>
      </c>
      <c r="L63" s="15" t="s">
        <v>278</v>
      </c>
      <c r="M63" s="15" t="s">
        <v>58</v>
      </c>
      <c r="N63" s="15" t="s">
        <v>101</v>
      </c>
      <c r="O63" s="15" t="s">
        <v>102</v>
      </c>
      <c r="P63" s="15" t="s">
        <v>103</v>
      </c>
      <c r="Q63" s="17">
        <v>47892</v>
      </c>
    </row>
    <row r="64" spans="1:17" x14ac:dyDescent="0.35">
      <c r="A64" s="15" t="s">
        <v>279</v>
      </c>
      <c r="B64" s="15" t="s">
        <v>280</v>
      </c>
      <c r="C64" s="15" t="s">
        <v>54</v>
      </c>
      <c r="D64" s="16">
        <v>36836</v>
      </c>
      <c r="E64" s="15">
        <f t="shared" ca="1" si="2"/>
        <v>25</v>
      </c>
      <c r="F64" s="16">
        <v>44505</v>
      </c>
      <c r="G64" s="15">
        <f t="shared" ca="1" si="3"/>
        <v>4</v>
      </c>
      <c r="H64" s="15" t="s">
        <v>97</v>
      </c>
      <c r="I64" s="15" t="s">
        <v>98</v>
      </c>
      <c r="J64" s="15" t="s">
        <v>99</v>
      </c>
      <c r="K64" s="15" t="s">
        <v>64</v>
      </c>
      <c r="L64" s="15" t="s">
        <v>185</v>
      </c>
      <c r="M64" s="15" t="s">
        <v>55</v>
      </c>
      <c r="N64" s="15" t="s">
        <v>117</v>
      </c>
      <c r="O64" s="15" t="s">
        <v>118</v>
      </c>
      <c r="P64" s="15" t="s">
        <v>119</v>
      </c>
      <c r="Q64" s="17">
        <v>108986</v>
      </c>
    </row>
    <row r="65" spans="1:17" x14ac:dyDescent="0.35">
      <c r="A65" s="15" t="s">
        <v>281</v>
      </c>
      <c r="B65" s="15" t="s">
        <v>282</v>
      </c>
      <c r="C65" s="15" t="s">
        <v>54</v>
      </c>
      <c r="D65" s="16">
        <v>26724</v>
      </c>
      <c r="E65" s="15">
        <f t="shared" ca="1" si="2"/>
        <v>53</v>
      </c>
      <c r="F65" s="16">
        <v>42189</v>
      </c>
      <c r="G65" s="15">
        <f t="shared" ca="1" si="3"/>
        <v>11</v>
      </c>
      <c r="H65" s="15" t="s">
        <v>113</v>
      </c>
      <c r="I65" s="15" t="s">
        <v>134</v>
      </c>
      <c r="J65" s="15" t="s">
        <v>108</v>
      </c>
      <c r="K65" s="15" t="s">
        <v>56</v>
      </c>
      <c r="L65" s="15" t="s">
        <v>116</v>
      </c>
      <c r="M65" s="15" t="s">
        <v>60</v>
      </c>
      <c r="N65" s="15" t="s">
        <v>165</v>
      </c>
      <c r="O65" s="15" t="s">
        <v>130</v>
      </c>
      <c r="P65" s="15" t="s">
        <v>119</v>
      </c>
      <c r="Q65" s="17">
        <v>35392</v>
      </c>
    </row>
    <row r="66" spans="1:17" x14ac:dyDescent="0.35">
      <c r="A66" s="15" t="s">
        <v>283</v>
      </c>
      <c r="B66" s="15" t="s">
        <v>284</v>
      </c>
      <c r="C66" s="15" t="s">
        <v>57</v>
      </c>
      <c r="D66" s="16">
        <v>34415</v>
      </c>
      <c r="E66" s="15">
        <f t="shared" ref="E66:E97" ca="1" si="4">DATEDIF(D66,TODAY(),"Y")</f>
        <v>32</v>
      </c>
      <c r="F66" s="16">
        <v>45083</v>
      </c>
      <c r="G66" s="15">
        <f t="shared" ref="G66:G97" ca="1" si="5">DATEDIF(F66,TODAY(),"Y")</f>
        <v>3</v>
      </c>
      <c r="H66" s="15" t="s">
        <v>157</v>
      </c>
      <c r="I66" s="15" t="s">
        <v>134</v>
      </c>
      <c r="J66" s="15" t="s">
        <v>108</v>
      </c>
      <c r="K66" s="15" t="s">
        <v>61</v>
      </c>
      <c r="L66" s="15" t="s">
        <v>143</v>
      </c>
      <c r="M66" s="15" t="s">
        <v>55</v>
      </c>
      <c r="N66" s="15" t="s">
        <v>101</v>
      </c>
      <c r="O66" s="15" t="s">
        <v>118</v>
      </c>
      <c r="P66" s="15" t="s">
        <v>119</v>
      </c>
      <c r="Q66" s="17">
        <v>50113</v>
      </c>
    </row>
    <row r="67" spans="1:17" x14ac:dyDescent="0.35">
      <c r="A67" s="15" t="s">
        <v>285</v>
      </c>
      <c r="B67" s="15" t="s">
        <v>286</v>
      </c>
      <c r="C67" s="15" t="s">
        <v>54</v>
      </c>
      <c r="D67" s="16">
        <v>26749</v>
      </c>
      <c r="E67" s="15">
        <f t="shared" ca="1" si="4"/>
        <v>53</v>
      </c>
      <c r="F67" s="16">
        <v>39498</v>
      </c>
      <c r="G67" s="15">
        <f t="shared" ca="1" si="5"/>
        <v>18</v>
      </c>
      <c r="H67" s="15" t="s">
        <v>168</v>
      </c>
      <c r="I67" s="15" t="s">
        <v>266</v>
      </c>
      <c r="J67" s="15" t="s">
        <v>99</v>
      </c>
      <c r="K67" s="15" t="s">
        <v>62</v>
      </c>
      <c r="L67" s="15" t="s">
        <v>209</v>
      </c>
      <c r="M67" s="15" t="s">
        <v>58</v>
      </c>
      <c r="N67" s="15" t="s">
        <v>101</v>
      </c>
      <c r="O67" s="15" t="s">
        <v>118</v>
      </c>
      <c r="P67" s="15" t="s">
        <v>119</v>
      </c>
      <c r="Q67" s="17">
        <v>79946</v>
      </c>
    </row>
    <row r="68" spans="1:17" x14ac:dyDescent="0.35">
      <c r="A68" s="15" t="s">
        <v>287</v>
      </c>
      <c r="B68" s="15" t="s">
        <v>237</v>
      </c>
      <c r="C68" s="15" t="s">
        <v>54</v>
      </c>
      <c r="D68" s="16">
        <v>31635</v>
      </c>
      <c r="E68" s="15">
        <f t="shared" ca="1" si="4"/>
        <v>40</v>
      </c>
      <c r="F68" s="16">
        <v>43718</v>
      </c>
      <c r="G68" s="15">
        <f t="shared" ca="1" si="5"/>
        <v>6</v>
      </c>
      <c r="H68" s="15" t="s">
        <v>157</v>
      </c>
      <c r="I68" s="15" t="s">
        <v>146</v>
      </c>
      <c r="J68" s="15" t="s">
        <v>108</v>
      </c>
      <c r="K68" s="15" t="s">
        <v>63</v>
      </c>
      <c r="L68" s="15" t="s">
        <v>129</v>
      </c>
      <c r="M68" s="15" t="s">
        <v>55</v>
      </c>
      <c r="N68" s="15" t="s">
        <v>101</v>
      </c>
      <c r="O68" s="15" t="s">
        <v>118</v>
      </c>
      <c r="P68" s="15" t="s">
        <v>103</v>
      </c>
      <c r="Q68" s="17">
        <v>41373</v>
      </c>
    </row>
    <row r="69" spans="1:17" x14ac:dyDescent="0.35">
      <c r="A69" s="15" t="s">
        <v>288</v>
      </c>
      <c r="B69" s="15" t="s">
        <v>289</v>
      </c>
      <c r="C69" s="15" t="s">
        <v>54</v>
      </c>
      <c r="D69" s="16">
        <v>25830</v>
      </c>
      <c r="E69" s="15">
        <f t="shared" ca="1" si="4"/>
        <v>55</v>
      </c>
      <c r="F69" s="16">
        <v>41614</v>
      </c>
      <c r="G69" s="15">
        <f t="shared" ca="1" si="5"/>
        <v>12</v>
      </c>
      <c r="H69" s="15" t="s">
        <v>163</v>
      </c>
      <c r="I69" s="15" t="s">
        <v>114</v>
      </c>
      <c r="J69" s="15" t="s">
        <v>115</v>
      </c>
      <c r="K69" s="15" t="s">
        <v>63</v>
      </c>
      <c r="L69" s="15" t="s">
        <v>151</v>
      </c>
      <c r="M69" s="15" t="s">
        <v>60</v>
      </c>
      <c r="N69" s="15" t="s">
        <v>101</v>
      </c>
      <c r="O69" s="15" t="s">
        <v>118</v>
      </c>
      <c r="P69" s="15" t="s">
        <v>119</v>
      </c>
      <c r="Q69" s="17">
        <v>17475</v>
      </c>
    </row>
    <row r="70" spans="1:17" x14ac:dyDescent="0.35">
      <c r="A70" s="15" t="s">
        <v>290</v>
      </c>
      <c r="B70" s="15" t="s">
        <v>291</v>
      </c>
      <c r="C70" s="15" t="s">
        <v>57</v>
      </c>
      <c r="D70" s="16">
        <v>34445</v>
      </c>
      <c r="E70" s="15">
        <f t="shared" ca="1" si="4"/>
        <v>32</v>
      </c>
      <c r="F70" s="16">
        <v>45075</v>
      </c>
      <c r="G70" s="15">
        <f t="shared" ca="1" si="5"/>
        <v>3</v>
      </c>
      <c r="H70" s="15" t="s">
        <v>113</v>
      </c>
      <c r="I70" s="15" t="s">
        <v>169</v>
      </c>
      <c r="J70" s="15" t="s">
        <v>115</v>
      </c>
      <c r="K70" s="15" t="s">
        <v>62</v>
      </c>
      <c r="L70" s="15" t="s">
        <v>100</v>
      </c>
      <c r="M70" s="15" t="s">
        <v>55</v>
      </c>
      <c r="N70" s="15" t="s">
        <v>101</v>
      </c>
      <c r="O70" s="15" t="s">
        <v>102</v>
      </c>
      <c r="P70" s="15" t="s">
        <v>103</v>
      </c>
      <c r="Q70" s="17">
        <v>23764</v>
      </c>
    </row>
    <row r="71" spans="1:17" x14ac:dyDescent="0.35">
      <c r="A71" s="15" t="s">
        <v>292</v>
      </c>
      <c r="B71" s="15" t="s">
        <v>293</v>
      </c>
      <c r="C71" s="15" t="s">
        <v>54</v>
      </c>
      <c r="D71" s="16">
        <v>34485</v>
      </c>
      <c r="E71" s="15">
        <f t="shared" ca="1" si="4"/>
        <v>32</v>
      </c>
      <c r="F71" s="16">
        <v>41849</v>
      </c>
      <c r="G71" s="15">
        <f t="shared" ca="1" si="5"/>
        <v>12</v>
      </c>
      <c r="H71" s="15" t="s">
        <v>150</v>
      </c>
      <c r="I71" s="15" t="s">
        <v>98</v>
      </c>
      <c r="J71" s="15" t="s">
        <v>99</v>
      </c>
      <c r="K71" s="15" t="s">
        <v>56</v>
      </c>
      <c r="L71" s="15" t="s">
        <v>116</v>
      </c>
      <c r="M71" s="15" t="s">
        <v>55</v>
      </c>
      <c r="N71" s="15" t="s">
        <v>101</v>
      </c>
      <c r="O71" s="15" t="s">
        <v>118</v>
      </c>
      <c r="P71" s="15" t="s">
        <v>103</v>
      </c>
      <c r="Q71" s="17">
        <v>68307</v>
      </c>
    </row>
    <row r="72" spans="1:17" x14ac:dyDescent="0.35">
      <c r="A72" s="15" t="s">
        <v>294</v>
      </c>
      <c r="B72" s="15" t="s">
        <v>295</v>
      </c>
      <c r="C72" s="15" t="s">
        <v>54</v>
      </c>
      <c r="D72" s="16">
        <v>36753</v>
      </c>
      <c r="E72" s="15">
        <f t="shared" ca="1" si="4"/>
        <v>26</v>
      </c>
      <c r="F72" s="16">
        <v>44769</v>
      </c>
      <c r="G72" s="15">
        <f t="shared" ca="1" si="5"/>
        <v>4</v>
      </c>
      <c r="H72" s="15" t="s">
        <v>163</v>
      </c>
      <c r="I72" s="15" t="s">
        <v>134</v>
      </c>
      <c r="J72" s="15" t="s">
        <v>108</v>
      </c>
      <c r="K72" s="15" t="s">
        <v>66</v>
      </c>
      <c r="L72" s="15" t="s">
        <v>198</v>
      </c>
      <c r="M72" s="15" t="s">
        <v>55</v>
      </c>
      <c r="N72" s="15" t="s">
        <v>117</v>
      </c>
      <c r="O72" s="15" t="s">
        <v>102</v>
      </c>
      <c r="P72" s="15" t="s">
        <v>103</v>
      </c>
      <c r="Q72" s="17">
        <v>37883</v>
      </c>
    </row>
    <row r="73" spans="1:17" x14ac:dyDescent="0.35">
      <c r="A73" s="15" t="s">
        <v>296</v>
      </c>
      <c r="B73" s="15" t="s">
        <v>291</v>
      </c>
      <c r="C73" s="15" t="s">
        <v>57</v>
      </c>
      <c r="D73" s="16">
        <v>30115</v>
      </c>
      <c r="E73" s="15">
        <f t="shared" ca="1" si="4"/>
        <v>44</v>
      </c>
      <c r="F73" s="16">
        <v>43336</v>
      </c>
      <c r="G73" s="15">
        <f t="shared" ca="1" si="5"/>
        <v>8</v>
      </c>
      <c r="H73" s="15" t="s">
        <v>163</v>
      </c>
      <c r="I73" s="15" t="s">
        <v>134</v>
      </c>
      <c r="J73" s="15" t="s">
        <v>108</v>
      </c>
      <c r="K73" s="15" t="s">
        <v>65</v>
      </c>
      <c r="L73" s="15" t="s">
        <v>204</v>
      </c>
      <c r="M73" s="15" t="s">
        <v>58</v>
      </c>
      <c r="N73" s="15" t="s">
        <v>101</v>
      </c>
      <c r="O73" s="15" t="s">
        <v>118</v>
      </c>
      <c r="P73" s="15" t="s">
        <v>103</v>
      </c>
      <c r="Q73" s="17">
        <v>48457</v>
      </c>
    </row>
    <row r="74" spans="1:17" x14ac:dyDescent="0.35">
      <c r="A74" s="15" t="s">
        <v>297</v>
      </c>
      <c r="B74" s="15" t="s">
        <v>194</v>
      </c>
      <c r="C74" s="15" t="s">
        <v>54</v>
      </c>
      <c r="D74" s="16">
        <v>31884</v>
      </c>
      <c r="E74" s="15">
        <f t="shared" ca="1" si="4"/>
        <v>39</v>
      </c>
      <c r="F74" s="16">
        <v>42052</v>
      </c>
      <c r="G74" s="15">
        <f t="shared" ca="1" si="5"/>
        <v>11</v>
      </c>
      <c r="H74" s="15" t="s">
        <v>168</v>
      </c>
      <c r="I74" s="15" t="s">
        <v>134</v>
      </c>
      <c r="J74" s="15" t="s">
        <v>108</v>
      </c>
      <c r="K74" s="15" t="s">
        <v>56</v>
      </c>
      <c r="L74" s="15" t="s">
        <v>164</v>
      </c>
      <c r="M74" s="15" t="s">
        <v>55</v>
      </c>
      <c r="N74" s="15" t="s">
        <v>117</v>
      </c>
      <c r="O74" s="15" t="s">
        <v>118</v>
      </c>
      <c r="P74" s="15" t="s">
        <v>103</v>
      </c>
      <c r="Q74" s="17">
        <v>42860</v>
      </c>
    </row>
    <row r="75" spans="1:17" x14ac:dyDescent="0.35">
      <c r="A75" s="15" t="s">
        <v>298</v>
      </c>
      <c r="B75" s="15" t="s">
        <v>299</v>
      </c>
      <c r="C75" s="15" t="s">
        <v>54</v>
      </c>
      <c r="D75" s="16">
        <v>26236</v>
      </c>
      <c r="E75" s="15">
        <f t="shared" ca="1" si="4"/>
        <v>54</v>
      </c>
      <c r="F75" s="16">
        <v>39116</v>
      </c>
      <c r="G75" s="15">
        <f t="shared" ca="1" si="5"/>
        <v>19</v>
      </c>
      <c r="H75" s="15" t="s">
        <v>157</v>
      </c>
      <c r="I75" s="15" t="s">
        <v>137</v>
      </c>
      <c r="J75" s="15" t="s">
        <v>108</v>
      </c>
      <c r="K75" s="15" t="s">
        <v>66</v>
      </c>
      <c r="L75" s="15" t="s">
        <v>198</v>
      </c>
      <c r="M75" s="15" t="s">
        <v>58</v>
      </c>
      <c r="N75" s="15" t="s">
        <v>101</v>
      </c>
      <c r="O75" s="15" t="s">
        <v>118</v>
      </c>
      <c r="P75" s="15" t="s">
        <v>103</v>
      </c>
      <c r="Q75" s="17">
        <v>40210</v>
      </c>
    </row>
    <row r="76" spans="1:17" x14ac:dyDescent="0.35">
      <c r="A76" s="15" t="s">
        <v>300</v>
      </c>
      <c r="B76" s="15" t="s">
        <v>301</v>
      </c>
      <c r="C76" s="15" t="s">
        <v>54</v>
      </c>
      <c r="D76" s="16">
        <v>34675</v>
      </c>
      <c r="E76" s="15">
        <f t="shared" ca="1" si="4"/>
        <v>31</v>
      </c>
      <c r="F76" s="16">
        <v>43415</v>
      </c>
      <c r="G76" s="15">
        <f t="shared" ca="1" si="5"/>
        <v>7</v>
      </c>
      <c r="H76" s="15" t="s">
        <v>113</v>
      </c>
      <c r="I76" s="15" t="s">
        <v>134</v>
      </c>
      <c r="J76" s="15" t="s">
        <v>108</v>
      </c>
      <c r="K76" s="15" t="s">
        <v>59</v>
      </c>
      <c r="L76" s="15" t="s">
        <v>195</v>
      </c>
      <c r="M76" s="15" t="s">
        <v>58</v>
      </c>
      <c r="N76" s="15" t="s">
        <v>101</v>
      </c>
      <c r="O76" s="15" t="s">
        <v>118</v>
      </c>
      <c r="P76" s="15" t="s">
        <v>119</v>
      </c>
      <c r="Q76" s="17">
        <v>33070</v>
      </c>
    </row>
    <row r="77" spans="1:17" x14ac:dyDescent="0.35">
      <c r="A77" s="15" t="s">
        <v>302</v>
      </c>
      <c r="B77" s="15" t="s">
        <v>299</v>
      </c>
      <c r="C77" s="15" t="s">
        <v>54</v>
      </c>
      <c r="D77" s="16">
        <v>34815</v>
      </c>
      <c r="E77" s="15">
        <f t="shared" ca="1" si="4"/>
        <v>31</v>
      </c>
      <c r="F77" s="16">
        <v>45964</v>
      </c>
      <c r="G77" s="15">
        <f t="shared" ca="1" si="5"/>
        <v>0</v>
      </c>
      <c r="H77" s="15" t="s">
        <v>150</v>
      </c>
      <c r="I77" s="15" t="s">
        <v>169</v>
      </c>
      <c r="J77" s="15" t="s">
        <v>115</v>
      </c>
      <c r="K77" s="15" t="s">
        <v>66</v>
      </c>
      <c r="L77" s="15" t="s">
        <v>138</v>
      </c>
      <c r="M77" s="15" t="s">
        <v>58</v>
      </c>
      <c r="N77" s="15" t="s">
        <v>101</v>
      </c>
      <c r="O77" s="15" t="s">
        <v>102</v>
      </c>
      <c r="P77" s="15" t="s">
        <v>103</v>
      </c>
      <c r="Q77" s="17">
        <v>16955</v>
      </c>
    </row>
    <row r="78" spans="1:17" x14ac:dyDescent="0.35">
      <c r="A78" s="15" t="s">
        <v>303</v>
      </c>
      <c r="B78" s="15" t="s">
        <v>304</v>
      </c>
      <c r="C78" s="15" t="s">
        <v>54</v>
      </c>
      <c r="D78" s="16">
        <v>36978</v>
      </c>
      <c r="E78" s="15">
        <f t="shared" ca="1" si="4"/>
        <v>25</v>
      </c>
      <c r="F78" s="16">
        <v>44403</v>
      </c>
      <c r="G78" s="15">
        <f t="shared" ca="1" si="5"/>
        <v>5</v>
      </c>
      <c r="H78" s="15" t="s">
        <v>113</v>
      </c>
      <c r="I78" s="15" t="s">
        <v>137</v>
      </c>
      <c r="J78" s="15" t="s">
        <v>108</v>
      </c>
      <c r="K78" s="15" t="s">
        <v>66</v>
      </c>
      <c r="L78" s="15" t="s">
        <v>138</v>
      </c>
      <c r="M78" s="15" t="s">
        <v>55</v>
      </c>
      <c r="N78" s="15" t="s">
        <v>101</v>
      </c>
      <c r="O78" s="15" t="s">
        <v>118</v>
      </c>
      <c r="P78" s="15" t="s">
        <v>103</v>
      </c>
      <c r="Q78" s="17">
        <v>40327</v>
      </c>
    </row>
    <row r="79" spans="1:17" x14ac:dyDescent="0.35">
      <c r="A79" s="15" t="s">
        <v>305</v>
      </c>
      <c r="B79" s="15" t="s">
        <v>306</v>
      </c>
      <c r="C79" s="15" t="s">
        <v>54</v>
      </c>
      <c r="D79" s="16">
        <v>35880</v>
      </c>
      <c r="E79" s="15">
        <f t="shared" ca="1" si="4"/>
        <v>28</v>
      </c>
      <c r="F79" s="16">
        <v>44294</v>
      </c>
      <c r="G79" s="15">
        <f t="shared" ca="1" si="5"/>
        <v>5</v>
      </c>
      <c r="H79" s="15" t="s">
        <v>97</v>
      </c>
      <c r="I79" s="15" t="s">
        <v>142</v>
      </c>
      <c r="J79" s="15" t="s">
        <v>108</v>
      </c>
      <c r="K79" s="15" t="s">
        <v>66</v>
      </c>
      <c r="L79" s="15" t="s">
        <v>198</v>
      </c>
      <c r="M79" s="15" t="s">
        <v>55</v>
      </c>
      <c r="N79" s="15" t="s">
        <v>101</v>
      </c>
      <c r="O79" s="15" t="s">
        <v>102</v>
      </c>
      <c r="P79" s="15" t="s">
        <v>103</v>
      </c>
      <c r="Q79" s="17">
        <v>47892</v>
      </c>
    </row>
    <row r="80" spans="1:17" x14ac:dyDescent="0.35">
      <c r="A80" s="15" t="s">
        <v>307</v>
      </c>
      <c r="B80" s="15" t="s">
        <v>308</v>
      </c>
      <c r="C80" s="15" t="s">
        <v>54</v>
      </c>
      <c r="D80" s="16">
        <v>25582</v>
      </c>
      <c r="E80" s="15">
        <f t="shared" ca="1" si="4"/>
        <v>56</v>
      </c>
      <c r="F80" s="16">
        <v>40159</v>
      </c>
      <c r="G80" s="15">
        <f t="shared" ca="1" si="5"/>
        <v>16</v>
      </c>
      <c r="H80" s="15" t="s">
        <v>150</v>
      </c>
      <c r="I80" s="15" t="s">
        <v>107</v>
      </c>
      <c r="J80" s="15" t="s">
        <v>108</v>
      </c>
      <c r="K80" s="15" t="s">
        <v>59</v>
      </c>
      <c r="L80" s="15" t="s">
        <v>195</v>
      </c>
      <c r="M80" s="15" t="s">
        <v>58</v>
      </c>
      <c r="N80" s="15" t="s">
        <v>101</v>
      </c>
      <c r="O80" s="15" t="s">
        <v>118</v>
      </c>
      <c r="P80" s="15" t="s">
        <v>119</v>
      </c>
      <c r="Q80" s="17">
        <v>28251</v>
      </c>
    </row>
    <row r="81" spans="1:17" x14ac:dyDescent="0.35">
      <c r="A81" s="15" t="s">
        <v>309</v>
      </c>
      <c r="B81" s="15" t="s">
        <v>308</v>
      </c>
      <c r="C81" s="15" t="s">
        <v>54</v>
      </c>
      <c r="D81" s="16">
        <v>31067</v>
      </c>
      <c r="E81" s="15">
        <f t="shared" ca="1" si="4"/>
        <v>41</v>
      </c>
      <c r="F81" s="16">
        <v>42715</v>
      </c>
      <c r="G81" s="15">
        <f t="shared" ca="1" si="5"/>
        <v>9</v>
      </c>
      <c r="H81" s="15" t="s">
        <v>141</v>
      </c>
      <c r="I81" s="15" t="s">
        <v>142</v>
      </c>
      <c r="J81" s="15" t="s">
        <v>108</v>
      </c>
      <c r="K81" s="15" t="s">
        <v>56</v>
      </c>
      <c r="L81" s="15" t="s">
        <v>164</v>
      </c>
      <c r="M81" s="15" t="s">
        <v>55</v>
      </c>
      <c r="N81" s="15" t="s">
        <v>101</v>
      </c>
      <c r="O81" s="15" t="s">
        <v>118</v>
      </c>
      <c r="P81" s="15" t="s">
        <v>103</v>
      </c>
      <c r="Q81" s="17">
        <v>49890</v>
      </c>
    </row>
    <row r="82" spans="1:17" x14ac:dyDescent="0.35">
      <c r="A82" s="15" t="s">
        <v>310</v>
      </c>
      <c r="B82" s="15" t="s">
        <v>311</v>
      </c>
      <c r="C82" s="15" t="s">
        <v>54</v>
      </c>
      <c r="D82" s="16">
        <v>29581</v>
      </c>
      <c r="E82" s="15">
        <f t="shared" ca="1" si="4"/>
        <v>45</v>
      </c>
      <c r="F82" s="16">
        <v>39296</v>
      </c>
      <c r="G82" s="15">
        <f t="shared" ca="1" si="5"/>
        <v>19</v>
      </c>
      <c r="H82" s="15" t="s">
        <v>133</v>
      </c>
      <c r="I82" s="15" t="s">
        <v>122</v>
      </c>
      <c r="J82" s="15" t="s">
        <v>115</v>
      </c>
      <c r="K82" s="15" t="s">
        <v>63</v>
      </c>
      <c r="L82" s="15" t="s">
        <v>151</v>
      </c>
      <c r="M82" s="15" t="s">
        <v>55</v>
      </c>
      <c r="N82" s="15" t="s">
        <v>101</v>
      </c>
      <c r="O82" s="15" t="s">
        <v>118</v>
      </c>
      <c r="P82" s="15" t="s">
        <v>119</v>
      </c>
      <c r="Q82" s="17">
        <v>21538</v>
      </c>
    </row>
    <row r="83" spans="1:17" x14ac:dyDescent="0.35">
      <c r="A83" s="15" t="s">
        <v>312</v>
      </c>
      <c r="B83" s="15" t="s">
        <v>284</v>
      </c>
      <c r="C83" s="15" t="s">
        <v>57</v>
      </c>
      <c r="D83" s="16">
        <v>37057</v>
      </c>
      <c r="E83" s="15">
        <f t="shared" ca="1" si="4"/>
        <v>25</v>
      </c>
      <c r="F83" s="16">
        <v>45264</v>
      </c>
      <c r="G83" s="15">
        <f t="shared" ca="1" si="5"/>
        <v>2</v>
      </c>
      <c r="H83" s="15" t="s">
        <v>157</v>
      </c>
      <c r="I83" s="15" t="s">
        <v>134</v>
      </c>
      <c r="J83" s="15" t="s">
        <v>108</v>
      </c>
      <c r="K83" s="15" t="s">
        <v>59</v>
      </c>
      <c r="L83" s="15" t="s">
        <v>123</v>
      </c>
      <c r="M83" s="15" t="s">
        <v>55</v>
      </c>
      <c r="N83" s="15" t="s">
        <v>101</v>
      </c>
      <c r="O83" s="15" t="s">
        <v>118</v>
      </c>
      <c r="P83" s="15" t="s">
        <v>119</v>
      </c>
      <c r="Q83" s="17">
        <v>44727</v>
      </c>
    </row>
    <row r="84" spans="1:17" x14ac:dyDescent="0.35">
      <c r="A84" s="15" t="s">
        <v>313</v>
      </c>
      <c r="B84" s="15" t="s">
        <v>314</v>
      </c>
      <c r="C84" s="15" t="s">
        <v>54</v>
      </c>
      <c r="D84" s="16">
        <v>27680</v>
      </c>
      <c r="E84" s="15">
        <f t="shared" ca="1" si="4"/>
        <v>50</v>
      </c>
      <c r="F84" s="16">
        <v>43287</v>
      </c>
      <c r="G84" s="15">
        <f t="shared" ca="1" si="5"/>
        <v>8</v>
      </c>
      <c r="H84" s="15" t="s">
        <v>113</v>
      </c>
      <c r="I84" s="15" t="s">
        <v>169</v>
      </c>
      <c r="J84" s="15" t="s">
        <v>115</v>
      </c>
      <c r="K84" s="15" t="s">
        <v>66</v>
      </c>
      <c r="L84" s="15" t="s">
        <v>198</v>
      </c>
      <c r="M84" s="15" t="s">
        <v>55</v>
      </c>
      <c r="N84" s="15" t="s">
        <v>101</v>
      </c>
      <c r="O84" s="15" t="s">
        <v>130</v>
      </c>
      <c r="P84" s="15" t="s">
        <v>103</v>
      </c>
      <c r="Q84" s="17">
        <v>16902</v>
      </c>
    </row>
    <row r="85" spans="1:17" x14ac:dyDescent="0.35">
      <c r="A85" s="15" t="s">
        <v>315</v>
      </c>
      <c r="B85" s="15" t="s">
        <v>208</v>
      </c>
      <c r="C85" s="15" t="s">
        <v>57</v>
      </c>
      <c r="D85" s="16">
        <v>32043</v>
      </c>
      <c r="E85" s="15">
        <f t="shared" ca="1" si="4"/>
        <v>38</v>
      </c>
      <c r="F85" s="16">
        <v>41263</v>
      </c>
      <c r="G85" s="15">
        <f t="shared" ca="1" si="5"/>
        <v>13</v>
      </c>
      <c r="H85" s="15" t="s">
        <v>168</v>
      </c>
      <c r="I85" s="15" t="s">
        <v>192</v>
      </c>
      <c r="J85" s="15" t="s">
        <v>115</v>
      </c>
      <c r="K85" s="15" t="s">
        <v>63</v>
      </c>
      <c r="L85" s="15" t="s">
        <v>147</v>
      </c>
      <c r="M85" s="15" t="s">
        <v>58</v>
      </c>
      <c r="N85" s="15" t="s">
        <v>101</v>
      </c>
      <c r="O85" s="15" t="s">
        <v>118</v>
      </c>
      <c r="P85" s="15" t="s">
        <v>103</v>
      </c>
      <c r="Q85" s="17">
        <v>14920</v>
      </c>
    </row>
    <row r="86" spans="1:17" x14ac:dyDescent="0.35">
      <c r="A86" s="15" t="s">
        <v>316</v>
      </c>
      <c r="B86" s="15" t="s">
        <v>317</v>
      </c>
      <c r="C86" s="15" t="s">
        <v>54</v>
      </c>
      <c r="D86" s="16">
        <v>34914</v>
      </c>
      <c r="E86" s="15">
        <f t="shared" ca="1" si="4"/>
        <v>31</v>
      </c>
      <c r="F86" s="16">
        <v>43219</v>
      </c>
      <c r="G86" s="15">
        <f t="shared" ca="1" si="5"/>
        <v>8</v>
      </c>
      <c r="H86" s="15" t="s">
        <v>163</v>
      </c>
      <c r="I86" s="15" t="s">
        <v>184</v>
      </c>
      <c r="J86" s="15" t="s">
        <v>99</v>
      </c>
      <c r="K86" s="15" t="s">
        <v>63</v>
      </c>
      <c r="L86" s="15" t="s">
        <v>151</v>
      </c>
      <c r="M86" s="15" t="s">
        <v>55</v>
      </c>
      <c r="N86" s="15" t="s">
        <v>101</v>
      </c>
      <c r="O86" s="15" t="s">
        <v>102</v>
      </c>
      <c r="P86" s="15" t="s">
        <v>103</v>
      </c>
      <c r="Q86" s="17">
        <v>98032</v>
      </c>
    </row>
    <row r="87" spans="1:17" x14ac:dyDescent="0.35">
      <c r="A87" s="15" t="s">
        <v>318</v>
      </c>
      <c r="B87" s="15" t="s">
        <v>319</v>
      </c>
      <c r="C87" s="15" t="s">
        <v>54</v>
      </c>
      <c r="D87" s="16">
        <v>36541</v>
      </c>
      <c r="E87" s="15">
        <f t="shared" ca="1" si="4"/>
        <v>26</v>
      </c>
      <c r="F87" s="16">
        <v>45907</v>
      </c>
      <c r="G87" s="15">
        <f t="shared" ca="1" si="5"/>
        <v>0</v>
      </c>
      <c r="H87" s="15" t="s">
        <v>168</v>
      </c>
      <c r="I87" s="15" t="s">
        <v>142</v>
      </c>
      <c r="J87" s="15" t="s">
        <v>108</v>
      </c>
      <c r="K87" s="15" t="s">
        <v>63</v>
      </c>
      <c r="L87" s="15" t="s">
        <v>147</v>
      </c>
      <c r="M87" s="15" t="s">
        <v>55</v>
      </c>
      <c r="N87" s="15" t="s">
        <v>101</v>
      </c>
      <c r="O87" s="15" t="s">
        <v>102</v>
      </c>
      <c r="P87" s="15" t="s">
        <v>119</v>
      </c>
      <c r="Q87" s="17">
        <v>51187</v>
      </c>
    </row>
    <row r="88" spans="1:17" x14ac:dyDescent="0.35">
      <c r="A88" s="15" t="s">
        <v>320</v>
      </c>
      <c r="B88" s="15" t="s">
        <v>321</v>
      </c>
      <c r="C88" s="15" t="s">
        <v>57</v>
      </c>
      <c r="D88" s="16">
        <v>25917</v>
      </c>
      <c r="E88" s="15">
        <f t="shared" ca="1" si="4"/>
        <v>55</v>
      </c>
      <c r="F88" s="16">
        <v>41053</v>
      </c>
      <c r="G88" s="15">
        <f t="shared" ca="1" si="5"/>
        <v>14</v>
      </c>
      <c r="H88" s="15" t="s">
        <v>113</v>
      </c>
      <c r="I88" s="15" t="s">
        <v>107</v>
      </c>
      <c r="J88" s="15" t="s">
        <v>108</v>
      </c>
      <c r="K88" s="15" t="s">
        <v>56</v>
      </c>
      <c r="L88" s="15" t="s">
        <v>164</v>
      </c>
      <c r="M88" s="15" t="s">
        <v>58</v>
      </c>
      <c r="N88" s="15" t="s">
        <v>101</v>
      </c>
      <c r="O88" s="15" t="s">
        <v>110</v>
      </c>
      <c r="P88" s="15" t="s">
        <v>119</v>
      </c>
      <c r="Q88" s="17">
        <v>37310</v>
      </c>
    </row>
    <row r="89" spans="1:17" x14ac:dyDescent="0.35">
      <c r="A89" s="15" t="s">
        <v>322</v>
      </c>
      <c r="B89" s="15" t="s">
        <v>323</v>
      </c>
      <c r="C89" s="15" t="s">
        <v>57</v>
      </c>
      <c r="D89" s="16">
        <v>29910</v>
      </c>
      <c r="E89" s="15">
        <f t="shared" ca="1" si="4"/>
        <v>44</v>
      </c>
      <c r="F89" s="16">
        <v>42931</v>
      </c>
      <c r="G89" s="15">
        <f t="shared" ca="1" si="5"/>
        <v>9</v>
      </c>
      <c r="H89" s="15" t="s">
        <v>160</v>
      </c>
      <c r="I89" s="15" t="s">
        <v>134</v>
      </c>
      <c r="J89" s="15" t="s">
        <v>108</v>
      </c>
      <c r="K89" s="15" t="s">
        <v>64</v>
      </c>
      <c r="L89" s="15" t="s">
        <v>253</v>
      </c>
      <c r="M89" s="15" t="s">
        <v>55</v>
      </c>
      <c r="N89" s="15" t="s">
        <v>101</v>
      </c>
      <c r="O89" s="15" t="s">
        <v>118</v>
      </c>
      <c r="P89" s="15" t="s">
        <v>103</v>
      </c>
      <c r="Q89" s="17">
        <v>49958</v>
      </c>
    </row>
    <row r="90" spans="1:17" x14ac:dyDescent="0.35">
      <c r="A90" s="15" t="s">
        <v>324</v>
      </c>
      <c r="B90" s="15" t="s">
        <v>325</v>
      </c>
      <c r="C90" s="15" t="s">
        <v>54</v>
      </c>
      <c r="D90" s="16">
        <v>28549</v>
      </c>
      <c r="E90" s="15">
        <f t="shared" ca="1" si="4"/>
        <v>48</v>
      </c>
      <c r="F90" s="16">
        <v>39479</v>
      </c>
      <c r="G90" s="15">
        <f t="shared" ca="1" si="5"/>
        <v>18</v>
      </c>
      <c r="H90" s="15" t="s">
        <v>113</v>
      </c>
      <c r="I90" s="15" t="s">
        <v>137</v>
      </c>
      <c r="J90" s="15" t="s">
        <v>108</v>
      </c>
      <c r="K90" s="15" t="s">
        <v>61</v>
      </c>
      <c r="L90" s="15" t="s">
        <v>143</v>
      </c>
      <c r="M90" s="15" t="s">
        <v>55</v>
      </c>
      <c r="N90" s="15" t="s">
        <v>101</v>
      </c>
      <c r="O90" s="15" t="s">
        <v>102</v>
      </c>
      <c r="P90" s="15" t="s">
        <v>103</v>
      </c>
      <c r="Q90" s="17">
        <v>44635</v>
      </c>
    </row>
    <row r="91" spans="1:17" x14ac:dyDescent="0.35">
      <c r="A91" s="15" t="s">
        <v>326</v>
      </c>
      <c r="B91" s="15" t="s">
        <v>327</v>
      </c>
      <c r="C91" s="15" t="s">
        <v>57</v>
      </c>
      <c r="D91" s="16">
        <v>36653</v>
      </c>
      <c r="E91" s="15">
        <f t="shared" ca="1" si="4"/>
        <v>26</v>
      </c>
      <c r="F91" s="16">
        <v>44131</v>
      </c>
      <c r="G91" s="15">
        <f t="shared" ca="1" si="5"/>
        <v>5</v>
      </c>
      <c r="H91" s="15" t="s">
        <v>113</v>
      </c>
      <c r="I91" s="15" t="s">
        <v>137</v>
      </c>
      <c r="J91" s="15" t="s">
        <v>108</v>
      </c>
      <c r="K91" s="15" t="s">
        <v>64</v>
      </c>
      <c r="L91" s="15" t="s">
        <v>185</v>
      </c>
      <c r="M91" s="15" t="s">
        <v>55</v>
      </c>
      <c r="N91" s="15" t="s">
        <v>101</v>
      </c>
      <c r="O91" s="15" t="s">
        <v>118</v>
      </c>
      <c r="P91" s="15" t="s">
        <v>103</v>
      </c>
      <c r="Q91" s="17">
        <v>35783</v>
      </c>
    </row>
    <row r="92" spans="1:17" x14ac:dyDescent="0.35">
      <c r="A92" s="15" t="s">
        <v>328</v>
      </c>
      <c r="B92" s="15" t="s">
        <v>329</v>
      </c>
      <c r="C92" s="15" t="s">
        <v>54</v>
      </c>
      <c r="D92" s="16">
        <v>32402</v>
      </c>
      <c r="E92" s="15">
        <f t="shared" ca="1" si="4"/>
        <v>37</v>
      </c>
      <c r="F92" s="16">
        <v>44656</v>
      </c>
      <c r="G92" s="15">
        <f t="shared" ca="1" si="5"/>
        <v>4</v>
      </c>
      <c r="H92" s="15" t="s">
        <v>150</v>
      </c>
      <c r="I92" s="15" t="s">
        <v>122</v>
      </c>
      <c r="J92" s="15" t="s">
        <v>115</v>
      </c>
      <c r="K92" s="15" t="s">
        <v>62</v>
      </c>
      <c r="L92" s="15" t="s">
        <v>154</v>
      </c>
      <c r="M92" s="15" t="s">
        <v>58</v>
      </c>
      <c r="N92" s="15" t="s">
        <v>101</v>
      </c>
      <c r="O92" s="15" t="s">
        <v>130</v>
      </c>
      <c r="P92" s="15" t="s">
        <v>119</v>
      </c>
      <c r="Q92" s="17">
        <v>20859</v>
      </c>
    </row>
    <row r="93" spans="1:17" x14ac:dyDescent="0.35">
      <c r="A93" s="15" t="s">
        <v>330</v>
      </c>
      <c r="B93" s="15" t="s">
        <v>331</v>
      </c>
      <c r="C93" s="15" t="s">
        <v>57</v>
      </c>
      <c r="D93" s="16">
        <v>36493</v>
      </c>
      <c r="E93" s="15">
        <f t="shared" ca="1" si="4"/>
        <v>26</v>
      </c>
      <c r="F93" s="16">
        <v>45282</v>
      </c>
      <c r="G93" s="15">
        <f t="shared" ca="1" si="5"/>
        <v>2</v>
      </c>
      <c r="H93" s="15" t="s">
        <v>168</v>
      </c>
      <c r="I93" s="15" t="s">
        <v>266</v>
      </c>
      <c r="J93" s="15" t="s">
        <v>99</v>
      </c>
      <c r="K93" s="15" t="s">
        <v>64</v>
      </c>
      <c r="L93" s="15" t="s">
        <v>253</v>
      </c>
      <c r="M93" s="15" t="s">
        <v>58</v>
      </c>
      <c r="N93" s="15" t="s">
        <v>101</v>
      </c>
      <c r="O93" s="15" t="s">
        <v>118</v>
      </c>
      <c r="P93" s="15" t="s">
        <v>103</v>
      </c>
      <c r="Q93" s="17">
        <v>78681</v>
      </c>
    </row>
    <row r="94" spans="1:17" x14ac:dyDescent="0.35">
      <c r="A94" s="15" t="s">
        <v>332</v>
      </c>
      <c r="B94" s="15" t="s">
        <v>333</v>
      </c>
      <c r="C94" s="15" t="s">
        <v>54</v>
      </c>
      <c r="D94" s="16">
        <v>33062</v>
      </c>
      <c r="E94" s="15">
        <f t="shared" ca="1" si="4"/>
        <v>36</v>
      </c>
      <c r="F94" s="16">
        <v>41416</v>
      </c>
      <c r="G94" s="15">
        <f t="shared" ca="1" si="5"/>
        <v>13</v>
      </c>
      <c r="H94" s="15" t="s">
        <v>157</v>
      </c>
      <c r="I94" s="15" t="s">
        <v>192</v>
      </c>
      <c r="J94" s="15" t="s">
        <v>115</v>
      </c>
      <c r="K94" s="15" t="s">
        <v>59</v>
      </c>
      <c r="L94" s="15" t="s">
        <v>123</v>
      </c>
      <c r="M94" s="15" t="s">
        <v>60</v>
      </c>
      <c r="N94" s="15" t="s">
        <v>101</v>
      </c>
      <c r="O94" s="15" t="s">
        <v>118</v>
      </c>
      <c r="P94" s="15" t="s">
        <v>119</v>
      </c>
      <c r="Q94" s="17">
        <v>14461</v>
      </c>
    </row>
    <row r="95" spans="1:17" x14ac:dyDescent="0.35">
      <c r="A95" s="15" t="s">
        <v>334</v>
      </c>
      <c r="B95" s="15" t="s">
        <v>335</v>
      </c>
      <c r="C95" s="15" t="s">
        <v>54</v>
      </c>
      <c r="D95" s="16">
        <v>37270</v>
      </c>
      <c r="E95" s="15">
        <f t="shared" ca="1" si="4"/>
        <v>24</v>
      </c>
      <c r="F95" s="16">
        <v>45323</v>
      </c>
      <c r="G95" s="15">
        <f t="shared" ca="1" si="5"/>
        <v>2</v>
      </c>
      <c r="H95" s="15" t="s">
        <v>126</v>
      </c>
      <c r="I95" s="15" t="s">
        <v>184</v>
      </c>
      <c r="J95" s="15" t="s">
        <v>99</v>
      </c>
      <c r="K95" s="15" t="s">
        <v>66</v>
      </c>
      <c r="L95" s="15" t="s">
        <v>138</v>
      </c>
      <c r="M95" s="15" t="s">
        <v>58</v>
      </c>
      <c r="N95" s="15" t="s">
        <v>101</v>
      </c>
      <c r="O95" s="15" t="s">
        <v>118</v>
      </c>
      <c r="P95" s="15" t="s">
        <v>103</v>
      </c>
      <c r="Q95" s="17">
        <v>61245</v>
      </c>
    </row>
    <row r="96" spans="1:17" x14ac:dyDescent="0.35">
      <c r="A96" s="15" t="s">
        <v>336</v>
      </c>
      <c r="B96" s="15" t="s">
        <v>337</v>
      </c>
      <c r="C96" s="15" t="s">
        <v>57</v>
      </c>
      <c r="D96" s="16">
        <v>25867</v>
      </c>
      <c r="E96" s="15">
        <f t="shared" ca="1" si="4"/>
        <v>55</v>
      </c>
      <c r="F96" s="16">
        <v>39261</v>
      </c>
      <c r="G96" s="15">
        <f t="shared" ca="1" si="5"/>
        <v>19</v>
      </c>
      <c r="H96" s="15" t="s">
        <v>97</v>
      </c>
      <c r="I96" s="15" t="s">
        <v>177</v>
      </c>
      <c r="J96" s="15" t="s">
        <v>99</v>
      </c>
      <c r="K96" s="15" t="s">
        <v>62</v>
      </c>
      <c r="L96" s="15" t="s">
        <v>154</v>
      </c>
      <c r="M96" s="15" t="s">
        <v>55</v>
      </c>
      <c r="N96" s="15" t="s">
        <v>101</v>
      </c>
      <c r="O96" s="15" t="s">
        <v>102</v>
      </c>
      <c r="P96" s="15" t="s">
        <v>119</v>
      </c>
      <c r="Q96" s="17">
        <v>99107</v>
      </c>
    </row>
    <row r="97" spans="1:17" x14ac:dyDescent="0.35">
      <c r="A97" s="15" t="s">
        <v>338</v>
      </c>
      <c r="B97" s="15" t="s">
        <v>257</v>
      </c>
      <c r="C97" s="15" t="s">
        <v>54</v>
      </c>
      <c r="D97" s="16">
        <v>33414</v>
      </c>
      <c r="E97" s="15">
        <f t="shared" ca="1" si="4"/>
        <v>35</v>
      </c>
      <c r="F97" s="16">
        <v>45503</v>
      </c>
      <c r="G97" s="15">
        <f t="shared" ca="1" si="5"/>
        <v>2</v>
      </c>
      <c r="H97" s="15" t="s">
        <v>141</v>
      </c>
      <c r="I97" s="15" t="s">
        <v>258</v>
      </c>
      <c r="J97" s="15" t="s">
        <v>259</v>
      </c>
      <c r="K97" s="15" t="s">
        <v>56</v>
      </c>
      <c r="L97" s="15" t="s">
        <v>164</v>
      </c>
      <c r="M97" s="15" t="s">
        <v>55</v>
      </c>
      <c r="N97" s="15" t="s">
        <v>101</v>
      </c>
      <c r="O97" s="15" t="s">
        <v>118</v>
      </c>
      <c r="P97" s="15" t="s">
        <v>103</v>
      </c>
      <c r="Q97" s="17">
        <v>188951</v>
      </c>
    </row>
    <row r="98" spans="1:17" x14ac:dyDescent="0.35">
      <c r="A98" s="15" t="s">
        <v>339</v>
      </c>
      <c r="B98" s="15" t="s">
        <v>340</v>
      </c>
      <c r="C98" s="15" t="s">
        <v>54</v>
      </c>
      <c r="D98" s="16">
        <v>30487</v>
      </c>
      <c r="E98" s="15">
        <f t="shared" ref="E98:E129" ca="1" si="6">DATEDIF(D98,TODAY(),"Y")</f>
        <v>43</v>
      </c>
      <c r="F98" s="16">
        <v>40328</v>
      </c>
      <c r="G98" s="15">
        <f t="shared" ref="G98:G129" ca="1" si="7">DATEDIF(F98,TODAY(),"Y")</f>
        <v>16</v>
      </c>
      <c r="H98" s="15" t="s">
        <v>163</v>
      </c>
      <c r="I98" s="15" t="s">
        <v>192</v>
      </c>
      <c r="J98" s="15" t="s">
        <v>115</v>
      </c>
      <c r="K98" s="15" t="s">
        <v>61</v>
      </c>
      <c r="L98" s="15" t="s">
        <v>278</v>
      </c>
      <c r="M98" s="15" t="s">
        <v>58</v>
      </c>
      <c r="N98" s="15" t="s">
        <v>101</v>
      </c>
      <c r="O98" s="15" t="s">
        <v>118</v>
      </c>
      <c r="P98" s="15" t="s">
        <v>103</v>
      </c>
      <c r="Q98" s="17">
        <v>23533</v>
      </c>
    </row>
    <row r="99" spans="1:17" x14ac:dyDescent="0.35">
      <c r="A99" s="15" t="s">
        <v>341</v>
      </c>
      <c r="B99" s="15" t="s">
        <v>342</v>
      </c>
      <c r="C99" s="15" t="s">
        <v>57</v>
      </c>
      <c r="D99" s="16">
        <v>35188</v>
      </c>
      <c r="E99" s="15">
        <f t="shared" ca="1" si="6"/>
        <v>30</v>
      </c>
      <c r="F99" s="16">
        <v>45811</v>
      </c>
      <c r="G99" s="15">
        <f t="shared" ca="1" si="7"/>
        <v>1</v>
      </c>
      <c r="H99" s="15" t="s">
        <v>133</v>
      </c>
      <c r="I99" s="15" t="s">
        <v>137</v>
      </c>
      <c r="J99" s="15" t="s">
        <v>108</v>
      </c>
      <c r="K99" s="15" t="s">
        <v>66</v>
      </c>
      <c r="L99" s="15" t="s">
        <v>198</v>
      </c>
      <c r="M99" s="15" t="s">
        <v>58</v>
      </c>
      <c r="N99" s="15" t="s">
        <v>101</v>
      </c>
      <c r="O99" s="15" t="s">
        <v>118</v>
      </c>
      <c r="P99" s="15" t="s">
        <v>119</v>
      </c>
      <c r="Q99" s="17">
        <v>29211</v>
      </c>
    </row>
    <row r="100" spans="1:17" x14ac:dyDescent="0.35">
      <c r="A100" s="15" t="s">
        <v>343</v>
      </c>
      <c r="B100" s="15" t="s">
        <v>314</v>
      </c>
      <c r="C100" s="15" t="s">
        <v>54</v>
      </c>
      <c r="D100" s="16">
        <v>29525</v>
      </c>
      <c r="E100" s="15">
        <f t="shared" ca="1" si="6"/>
        <v>45</v>
      </c>
      <c r="F100" s="16">
        <v>41277</v>
      </c>
      <c r="G100" s="15">
        <f t="shared" ca="1" si="7"/>
        <v>13</v>
      </c>
      <c r="H100" s="15" t="s">
        <v>133</v>
      </c>
      <c r="I100" s="15" t="s">
        <v>146</v>
      </c>
      <c r="J100" s="15" t="s">
        <v>108</v>
      </c>
      <c r="K100" s="15" t="s">
        <v>66</v>
      </c>
      <c r="L100" s="15" t="s">
        <v>214</v>
      </c>
      <c r="M100" s="15" t="s">
        <v>55</v>
      </c>
      <c r="N100" s="15" t="s">
        <v>101</v>
      </c>
      <c r="O100" s="15" t="s">
        <v>110</v>
      </c>
      <c r="P100" s="15" t="s">
        <v>103</v>
      </c>
      <c r="Q100" s="17">
        <v>38876</v>
      </c>
    </row>
    <row r="101" spans="1:17" x14ac:dyDescent="0.35">
      <c r="A101" s="15" t="s">
        <v>344</v>
      </c>
      <c r="B101" s="15" t="s">
        <v>345</v>
      </c>
      <c r="C101" s="15" t="s">
        <v>54</v>
      </c>
      <c r="D101" s="16">
        <v>26191</v>
      </c>
      <c r="E101" s="15">
        <f t="shared" ca="1" si="6"/>
        <v>54</v>
      </c>
      <c r="F101" s="16">
        <v>44309</v>
      </c>
      <c r="G101" s="15">
        <f t="shared" ca="1" si="7"/>
        <v>5</v>
      </c>
      <c r="H101" s="15" t="s">
        <v>157</v>
      </c>
      <c r="I101" s="15" t="s">
        <v>137</v>
      </c>
      <c r="J101" s="15" t="s">
        <v>108</v>
      </c>
      <c r="K101" s="15" t="s">
        <v>63</v>
      </c>
      <c r="L101" s="15" t="s">
        <v>129</v>
      </c>
      <c r="M101" s="15" t="s">
        <v>55</v>
      </c>
      <c r="N101" s="15" t="s">
        <v>101</v>
      </c>
      <c r="O101" s="15" t="s">
        <v>118</v>
      </c>
      <c r="P101" s="15" t="s">
        <v>119</v>
      </c>
      <c r="Q101" s="17">
        <v>54946</v>
      </c>
    </row>
    <row r="102" spans="1:17" x14ac:dyDescent="0.35">
      <c r="A102" s="15" t="s">
        <v>346</v>
      </c>
      <c r="B102" s="15" t="s">
        <v>347</v>
      </c>
      <c r="C102" s="15" t="s">
        <v>54</v>
      </c>
      <c r="D102" s="16">
        <v>30597</v>
      </c>
      <c r="E102" s="15">
        <f t="shared" ca="1" si="6"/>
        <v>42</v>
      </c>
      <c r="F102" s="16">
        <v>42015</v>
      </c>
      <c r="G102" s="15">
        <f t="shared" ca="1" si="7"/>
        <v>11</v>
      </c>
      <c r="H102" s="15" t="s">
        <v>160</v>
      </c>
      <c r="I102" s="15" t="s">
        <v>134</v>
      </c>
      <c r="J102" s="15" t="s">
        <v>108</v>
      </c>
      <c r="K102" s="15" t="s">
        <v>66</v>
      </c>
      <c r="L102" s="15" t="s">
        <v>198</v>
      </c>
      <c r="M102" s="15" t="s">
        <v>55</v>
      </c>
      <c r="N102" s="15" t="s">
        <v>101</v>
      </c>
      <c r="O102" s="15" t="s">
        <v>118</v>
      </c>
      <c r="P102" s="15" t="s">
        <v>119</v>
      </c>
      <c r="Q102" s="17">
        <v>42252</v>
      </c>
    </row>
    <row r="103" spans="1:17" x14ac:dyDescent="0.35">
      <c r="A103" s="15" t="s">
        <v>348</v>
      </c>
      <c r="B103" s="15" t="s">
        <v>349</v>
      </c>
      <c r="C103" s="15" t="s">
        <v>54</v>
      </c>
      <c r="D103" s="16">
        <v>25408</v>
      </c>
      <c r="E103" s="15">
        <f t="shared" ca="1" si="6"/>
        <v>57</v>
      </c>
      <c r="F103" s="16">
        <v>39387</v>
      </c>
      <c r="G103" s="15">
        <f t="shared" ca="1" si="7"/>
        <v>18</v>
      </c>
      <c r="H103" s="15" t="s">
        <v>106</v>
      </c>
      <c r="I103" s="15" t="s">
        <v>137</v>
      </c>
      <c r="J103" s="15" t="s">
        <v>108</v>
      </c>
      <c r="K103" s="15" t="s">
        <v>65</v>
      </c>
      <c r="L103" s="15" t="s">
        <v>204</v>
      </c>
      <c r="M103" s="15" t="s">
        <v>60</v>
      </c>
      <c r="N103" s="15" t="s">
        <v>101</v>
      </c>
      <c r="O103" s="15" t="s">
        <v>130</v>
      </c>
      <c r="P103" s="15" t="s">
        <v>119</v>
      </c>
      <c r="Q103" s="17">
        <v>39866</v>
      </c>
    </row>
    <row r="104" spans="1:17" x14ac:dyDescent="0.35">
      <c r="A104" s="15" t="s">
        <v>350</v>
      </c>
      <c r="B104" s="15" t="s">
        <v>351</v>
      </c>
      <c r="C104" s="15" t="s">
        <v>57</v>
      </c>
      <c r="D104" s="16">
        <v>29988</v>
      </c>
      <c r="E104" s="15">
        <f t="shared" ca="1" si="6"/>
        <v>44</v>
      </c>
      <c r="F104" s="16">
        <v>43674</v>
      </c>
      <c r="G104" s="15">
        <f t="shared" ca="1" si="7"/>
        <v>7</v>
      </c>
      <c r="H104" s="15" t="s">
        <v>141</v>
      </c>
      <c r="I104" s="15" t="s">
        <v>142</v>
      </c>
      <c r="J104" s="15" t="s">
        <v>108</v>
      </c>
      <c r="K104" s="15" t="s">
        <v>63</v>
      </c>
      <c r="L104" s="15" t="s">
        <v>129</v>
      </c>
      <c r="M104" s="15" t="s">
        <v>55</v>
      </c>
      <c r="N104" s="15" t="s">
        <v>101</v>
      </c>
      <c r="O104" s="15" t="s">
        <v>118</v>
      </c>
      <c r="P104" s="15" t="s">
        <v>119</v>
      </c>
      <c r="Q104" s="17">
        <v>52106</v>
      </c>
    </row>
    <row r="105" spans="1:17" x14ac:dyDescent="0.35">
      <c r="A105" s="15" t="s">
        <v>352</v>
      </c>
      <c r="B105" s="15" t="s">
        <v>353</v>
      </c>
      <c r="C105" s="15" t="s">
        <v>54</v>
      </c>
      <c r="D105" s="16">
        <v>28117</v>
      </c>
      <c r="E105" s="15">
        <f t="shared" ca="1" si="6"/>
        <v>49</v>
      </c>
      <c r="F105" s="16">
        <v>39357</v>
      </c>
      <c r="G105" s="15">
        <f t="shared" ca="1" si="7"/>
        <v>18</v>
      </c>
      <c r="H105" s="15" t="s">
        <v>150</v>
      </c>
      <c r="I105" s="15" t="s">
        <v>122</v>
      </c>
      <c r="J105" s="15" t="s">
        <v>115</v>
      </c>
      <c r="K105" s="15" t="s">
        <v>59</v>
      </c>
      <c r="L105" s="15" t="s">
        <v>195</v>
      </c>
      <c r="M105" s="15" t="s">
        <v>55</v>
      </c>
      <c r="N105" s="15" t="s">
        <v>101</v>
      </c>
      <c r="O105" s="15" t="s">
        <v>118</v>
      </c>
      <c r="P105" s="15" t="s">
        <v>119</v>
      </c>
      <c r="Q105" s="17">
        <v>21292</v>
      </c>
    </row>
    <row r="106" spans="1:17" x14ac:dyDescent="0.35">
      <c r="A106" s="15" t="s">
        <v>354</v>
      </c>
      <c r="B106" s="15" t="s">
        <v>355</v>
      </c>
      <c r="C106" s="15" t="s">
        <v>57</v>
      </c>
      <c r="D106" s="16">
        <v>30760</v>
      </c>
      <c r="E106" s="15">
        <f t="shared" ca="1" si="6"/>
        <v>42</v>
      </c>
      <c r="F106" s="16">
        <v>42520</v>
      </c>
      <c r="G106" s="15">
        <f t="shared" ca="1" si="7"/>
        <v>10</v>
      </c>
      <c r="H106" s="15" t="s">
        <v>113</v>
      </c>
      <c r="I106" s="15" t="s">
        <v>107</v>
      </c>
      <c r="J106" s="15" t="s">
        <v>108</v>
      </c>
      <c r="K106" s="15" t="s">
        <v>59</v>
      </c>
      <c r="L106" s="15" t="s">
        <v>181</v>
      </c>
      <c r="M106" s="15" t="s">
        <v>58</v>
      </c>
      <c r="N106" s="15" t="s">
        <v>101</v>
      </c>
      <c r="O106" s="15" t="s">
        <v>118</v>
      </c>
      <c r="P106" s="15" t="s">
        <v>103</v>
      </c>
      <c r="Q106" s="17">
        <v>35757</v>
      </c>
    </row>
    <row r="107" spans="1:17" x14ac:dyDescent="0.35">
      <c r="A107" s="15" t="s">
        <v>356</v>
      </c>
      <c r="B107" s="15" t="s">
        <v>357</v>
      </c>
      <c r="C107" s="15" t="s">
        <v>54</v>
      </c>
      <c r="D107" s="16">
        <v>33450</v>
      </c>
      <c r="E107" s="15">
        <f t="shared" ca="1" si="6"/>
        <v>35</v>
      </c>
      <c r="F107" s="16">
        <v>41718</v>
      </c>
      <c r="G107" s="15">
        <f t="shared" ca="1" si="7"/>
        <v>12</v>
      </c>
      <c r="H107" s="15" t="s">
        <v>113</v>
      </c>
      <c r="I107" s="15" t="s">
        <v>98</v>
      </c>
      <c r="J107" s="15" t="s">
        <v>99</v>
      </c>
      <c r="K107" s="15" t="s">
        <v>63</v>
      </c>
      <c r="L107" s="15" t="s">
        <v>147</v>
      </c>
      <c r="M107" s="15" t="s">
        <v>55</v>
      </c>
      <c r="N107" s="15" t="s">
        <v>101</v>
      </c>
      <c r="O107" s="15" t="s">
        <v>118</v>
      </c>
      <c r="P107" s="15" t="s">
        <v>119</v>
      </c>
      <c r="Q107" s="17">
        <v>64833</v>
      </c>
    </row>
    <row r="108" spans="1:17" x14ac:dyDescent="0.35">
      <c r="A108" s="15" t="s">
        <v>358</v>
      </c>
      <c r="B108" s="15" t="s">
        <v>359</v>
      </c>
      <c r="C108" s="15" t="s">
        <v>57</v>
      </c>
      <c r="D108" s="16">
        <v>26872</v>
      </c>
      <c r="E108" s="15">
        <f t="shared" ca="1" si="6"/>
        <v>53</v>
      </c>
      <c r="F108" s="16">
        <v>42597</v>
      </c>
      <c r="G108" s="15">
        <f t="shared" ca="1" si="7"/>
        <v>10</v>
      </c>
      <c r="H108" s="15" t="s">
        <v>106</v>
      </c>
      <c r="I108" s="15" t="s">
        <v>169</v>
      </c>
      <c r="J108" s="15" t="s">
        <v>115</v>
      </c>
      <c r="K108" s="15" t="s">
        <v>66</v>
      </c>
      <c r="L108" s="15" t="s">
        <v>138</v>
      </c>
      <c r="M108" s="15" t="s">
        <v>58</v>
      </c>
      <c r="N108" s="15" t="s">
        <v>101</v>
      </c>
      <c r="O108" s="15" t="s">
        <v>130</v>
      </c>
      <c r="P108" s="15" t="s">
        <v>103</v>
      </c>
      <c r="Q108" s="17">
        <v>17694</v>
      </c>
    </row>
    <row r="109" spans="1:17" x14ac:dyDescent="0.35">
      <c r="A109" s="15" t="s">
        <v>360</v>
      </c>
      <c r="B109" s="15" t="s">
        <v>361</v>
      </c>
      <c r="C109" s="15" t="s">
        <v>54</v>
      </c>
      <c r="D109" s="16">
        <v>33072</v>
      </c>
      <c r="E109" s="15">
        <f t="shared" ca="1" si="6"/>
        <v>36</v>
      </c>
      <c r="F109" s="16">
        <v>43603</v>
      </c>
      <c r="G109" s="15">
        <f t="shared" ca="1" si="7"/>
        <v>7</v>
      </c>
      <c r="H109" s="15" t="s">
        <v>97</v>
      </c>
      <c r="I109" s="15" t="s">
        <v>146</v>
      </c>
      <c r="J109" s="15" t="s">
        <v>108</v>
      </c>
      <c r="K109" s="15" t="s">
        <v>59</v>
      </c>
      <c r="L109" s="15" t="s">
        <v>195</v>
      </c>
      <c r="M109" s="15" t="s">
        <v>55</v>
      </c>
      <c r="N109" s="15" t="s">
        <v>101</v>
      </c>
      <c r="O109" s="15" t="s">
        <v>118</v>
      </c>
      <c r="P109" s="15" t="s">
        <v>103</v>
      </c>
      <c r="Q109" s="17">
        <v>33609</v>
      </c>
    </row>
    <row r="110" spans="1:17" x14ac:dyDescent="0.35">
      <c r="A110" s="15" t="s">
        <v>362</v>
      </c>
      <c r="B110" s="15" t="s">
        <v>363</v>
      </c>
      <c r="C110" s="15" t="s">
        <v>54</v>
      </c>
      <c r="D110" s="16">
        <v>34965</v>
      </c>
      <c r="E110" s="15">
        <f t="shared" ca="1" si="6"/>
        <v>30</v>
      </c>
      <c r="F110" s="16">
        <v>43587</v>
      </c>
      <c r="G110" s="15">
        <f t="shared" ca="1" si="7"/>
        <v>7</v>
      </c>
      <c r="H110" s="15" t="s">
        <v>133</v>
      </c>
      <c r="I110" s="15" t="s">
        <v>192</v>
      </c>
      <c r="J110" s="15" t="s">
        <v>115</v>
      </c>
      <c r="K110" s="15" t="s">
        <v>59</v>
      </c>
      <c r="L110" s="15" t="s">
        <v>123</v>
      </c>
      <c r="M110" s="15" t="s">
        <v>58</v>
      </c>
      <c r="N110" s="15" t="s">
        <v>101</v>
      </c>
      <c r="O110" s="15" t="s">
        <v>102</v>
      </c>
      <c r="P110" s="15" t="s">
        <v>119</v>
      </c>
      <c r="Q110" s="17">
        <v>18949</v>
      </c>
    </row>
    <row r="111" spans="1:17" x14ac:dyDescent="0.35">
      <c r="A111" s="15" t="s">
        <v>364</v>
      </c>
      <c r="B111" s="15" t="s">
        <v>162</v>
      </c>
      <c r="C111" s="15" t="s">
        <v>54</v>
      </c>
      <c r="D111" s="16">
        <v>34777</v>
      </c>
      <c r="E111" s="15">
        <f t="shared" ca="1" si="6"/>
        <v>31</v>
      </c>
      <c r="F111" s="16">
        <v>43357</v>
      </c>
      <c r="G111" s="15">
        <f t="shared" ca="1" si="7"/>
        <v>7</v>
      </c>
      <c r="H111" s="15" t="s">
        <v>163</v>
      </c>
      <c r="I111" s="15" t="s">
        <v>266</v>
      </c>
      <c r="J111" s="15" t="s">
        <v>99</v>
      </c>
      <c r="K111" s="15" t="s">
        <v>59</v>
      </c>
      <c r="L111" s="15" t="s">
        <v>181</v>
      </c>
      <c r="M111" s="15" t="s">
        <v>55</v>
      </c>
      <c r="N111" s="15" t="s">
        <v>101</v>
      </c>
      <c r="O111" s="15" t="s">
        <v>118</v>
      </c>
      <c r="P111" s="15" t="s">
        <v>119</v>
      </c>
      <c r="Q111" s="17">
        <v>108116</v>
      </c>
    </row>
    <row r="112" spans="1:17" x14ac:dyDescent="0.35">
      <c r="A112" s="15" t="s">
        <v>365</v>
      </c>
      <c r="B112" s="15" t="s">
        <v>366</v>
      </c>
      <c r="C112" s="15" t="s">
        <v>54</v>
      </c>
      <c r="D112" s="16">
        <v>25667</v>
      </c>
      <c r="E112" s="15">
        <f t="shared" ca="1" si="6"/>
        <v>56</v>
      </c>
      <c r="F112" s="16">
        <v>40730</v>
      </c>
      <c r="G112" s="15">
        <f t="shared" ca="1" si="7"/>
        <v>15</v>
      </c>
      <c r="H112" s="15" t="s">
        <v>150</v>
      </c>
      <c r="I112" s="15" t="s">
        <v>142</v>
      </c>
      <c r="J112" s="15" t="s">
        <v>108</v>
      </c>
      <c r="K112" s="15" t="s">
        <v>59</v>
      </c>
      <c r="L112" s="15" t="s">
        <v>195</v>
      </c>
      <c r="M112" s="15" t="s">
        <v>55</v>
      </c>
      <c r="N112" s="15" t="s">
        <v>117</v>
      </c>
      <c r="O112" s="15" t="s">
        <v>130</v>
      </c>
      <c r="P112" s="15" t="s">
        <v>103</v>
      </c>
      <c r="Q112" s="17">
        <v>36135</v>
      </c>
    </row>
    <row r="113" spans="1:17" x14ac:dyDescent="0.35">
      <c r="A113" s="15" t="s">
        <v>367</v>
      </c>
      <c r="B113" s="15" t="s">
        <v>368</v>
      </c>
      <c r="C113" s="15" t="s">
        <v>57</v>
      </c>
      <c r="D113" s="16">
        <v>33119</v>
      </c>
      <c r="E113" s="15">
        <f t="shared" ca="1" si="6"/>
        <v>36</v>
      </c>
      <c r="F113" s="16">
        <v>42098</v>
      </c>
      <c r="G113" s="15">
        <f t="shared" ca="1" si="7"/>
        <v>11</v>
      </c>
      <c r="H113" s="15" t="s">
        <v>141</v>
      </c>
      <c r="I113" s="15" t="s">
        <v>107</v>
      </c>
      <c r="J113" s="15" t="s">
        <v>108</v>
      </c>
      <c r="K113" s="15" t="s">
        <v>63</v>
      </c>
      <c r="L113" s="15" t="s">
        <v>147</v>
      </c>
      <c r="M113" s="15" t="s">
        <v>55</v>
      </c>
      <c r="N113" s="15" t="s">
        <v>165</v>
      </c>
      <c r="O113" s="15" t="s">
        <v>110</v>
      </c>
      <c r="P113" s="15" t="s">
        <v>119</v>
      </c>
      <c r="Q113" s="17">
        <v>39563</v>
      </c>
    </row>
    <row r="114" spans="1:17" x14ac:dyDescent="0.35">
      <c r="A114" s="15" t="s">
        <v>369</v>
      </c>
      <c r="B114" s="15" t="s">
        <v>370</v>
      </c>
      <c r="C114" s="15" t="s">
        <v>54</v>
      </c>
      <c r="D114" s="16">
        <v>37353</v>
      </c>
      <c r="E114" s="15">
        <f t="shared" ca="1" si="6"/>
        <v>24</v>
      </c>
      <c r="F114" s="16">
        <v>46151</v>
      </c>
      <c r="G114" s="15">
        <f t="shared" ca="1" si="7"/>
        <v>0</v>
      </c>
      <c r="H114" s="15" t="s">
        <v>106</v>
      </c>
      <c r="I114" s="15" t="s">
        <v>142</v>
      </c>
      <c r="J114" s="15" t="s">
        <v>108</v>
      </c>
      <c r="K114" s="15" t="s">
        <v>63</v>
      </c>
      <c r="L114" s="15" t="s">
        <v>129</v>
      </c>
      <c r="M114" s="15" t="s">
        <v>55</v>
      </c>
      <c r="N114" s="15" t="s">
        <v>101</v>
      </c>
      <c r="O114" s="15" t="s">
        <v>102</v>
      </c>
      <c r="P114" s="15" t="s">
        <v>119</v>
      </c>
      <c r="Q114" s="17">
        <v>46409</v>
      </c>
    </row>
    <row r="115" spans="1:17" x14ac:dyDescent="0.35">
      <c r="A115" s="15" t="s">
        <v>371</v>
      </c>
      <c r="B115" s="15" t="s">
        <v>372</v>
      </c>
      <c r="C115" s="15" t="s">
        <v>54</v>
      </c>
      <c r="D115" s="16">
        <v>31291</v>
      </c>
      <c r="E115" s="15">
        <f t="shared" ca="1" si="6"/>
        <v>41</v>
      </c>
      <c r="F115" s="16">
        <v>41410</v>
      </c>
      <c r="G115" s="15">
        <f t="shared" ca="1" si="7"/>
        <v>13</v>
      </c>
      <c r="H115" s="15" t="s">
        <v>157</v>
      </c>
      <c r="I115" s="15" t="s">
        <v>146</v>
      </c>
      <c r="J115" s="15" t="s">
        <v>108</v>
      </c>
      <c r="K115" s="15" t="s">
        <v>63</v>
      </c>
      <c r="L115" s="15" t="s">
        <v>147</v>
      </c>
      <c r="M115" s="15" t="s">
        <v>58</v>
      </c>
      <c r="N115" s="15" t="s">
        <v>101</v>
      </c>
      <c r="O115" s="15" t="s">
        <v>130</v>
      </c>
      <c r="P115" s="15" t="s">
        <v>103</v>
      </c>
      <c r="Q115" s="17">
        <v>39980</v>
      </c>
    </row>
    <row r="116" spans="1:17" x14ac:dyDescent="0.35">
      <c r="A116" s="15" t="s">
        <v>373</v>
      </c>
      <c r="B116" s="15" t="s">
        <v>374</v>
      </c>
      <c r="C116" s="15" t="s">
        <v>54</v>
      </c>
      <c r="D116" s="16">
        <v>34770</v>
      </c>
      <c r="E116" s="15">
        <f t="shared" ca="1" si="6"/>
        <v>31</v>
      </c>
      <c r="F116" s="16">
        <v>45669</v>
      </c>
      <c r="G116" s="15">
        <f t="shared" ca="1" si="7"/>
        <v>1</v>
      </c>
      <c r="H116" s="15" t="s">
        <v>150</v>
      </c>
      <c r="I116" s="15" t="s">
        <v>184</v>
      </c>
      <c r="J116" s="15" t="s">
        <v>99</v>
      </c>
      <c r="K116" s="15" t="s">
        <v>61</v>
      </c>
      <c r="L116" s="15" t="s">
        <v>238</v>
      </c>
      <c r="M116" s="15" t="s">
        <v>58</v>
      </c>
      <c r="N116" s="15" t="s">
        <v>101</v>
      </c>
      <c r="O116" s="15" t="s">
        <v>118</v>
      </c>
      <c r="P116" s="15" t="s">
        <v>103</v>
      </c>
      <c r="Q116" s="17">
        <v>100178</v>
      </c>
    </row>
    <row r="117" spans="1:17" x14ac:dyDescent="0.35">
      <c r="A117" s="15" t="s">
        <v>375</v>
      </c>
      <c r="B117" s="15" t="s">
        <v>376</v>
      </c>
      <c r="C117" s="15" t="s">
        <v>54</v>
      </c>
      <c r="D117" s="16">
        <v>31662</v>
      </c>
      <c r="E117" s="15">
        <f t="shared" ca="1" si="6"/>
        <v>39</v>
      </c>
      <c r="F117" s="16">
        <v>43134</v>
      </c>
      <c r="G117" s="15">
        <f t="shared" ca="1" si="7"/>
        <v>8</v>
      </c>
      <c r="H117" s="15" t="s">
        <v>113</v>
      </c>
      <c r="I117" s="15" t="s">
        <v>134</v>
      </c>
      <c r="J117" s="15" t="s">
        <v>108</v>
      </c>
      <c r="K117" s="15" t="s">
        <v>63</v>
      </c>
      <c r="L117" s="15" t="s">
        <v>147</v>
      </c>
      <c r="M117" s="15" t="s">
        <v>58</v>
      </c>
      <c r="N117" s="15" t="s">
        <v>101</v>
      </c>
      <c r="O117" s="15" t="s">
        <v>118</v>
      </c>
      <c r="P117" s="15" t="s">
        <v>103</v>
      </c>
      <c r="Q117" s="17">
        <v>48619</v>
      </c>
    </row>
    <row r="118" spans="1:17" x14ac:dyDescent="0.35">
      <c r="A118" s="15" t="s">
        <v>377</v>
      </c>
      <c r="B118" s="15" t="s">
        <v>244</v>
      </c>
      <c r="C118" s="15" t="s">
        <v>54</v>
      </c>
      <c r="D118" s="16">
        <v>27259</v>
      </c>
      <c r="E118" s="15">
        <f t="shared" ca="1" si="6"/>
        <v>52</v>
      </c>
      <c r="F118" s="16">
        <v>45084</v>
      </c>
      <c r="G118" s="15">
        <f t="shared" ca="1" si="7"/>
        <v>3</v>
      </c>
      <c r="H118" s="15" t="s">
        <v>168</v>
      </c>
      <c r="I118" s="15" t="s">
        <v>266</v>
      </c>
      <c r="J118" s="15" t="s">
        <v>99</v>
      </c>
      <c r="K118" s="15" t="s">
        <v>62</v>
      </c>
      <c r="L118" s="15" t="s">
        <v>209</v>
      </c>
      <c r="M118" s="15" t="s">
        <v>55</v>
      </c>
      <c r="N118" s="15" t="s">
        <v>101</v>
      </c>
      <c r="O118" s="15" t="s">
        <v>118</v>
      </c>
      <c r="P118" s="15" t="s">
        <v>119</v>
      </c>
      <c r="Q118" s="17">
        <v>97523</v>
      </c>
    </row>
    <row r="119" spans="1:17" x14ac:dyDescent="0.35">
      <c r="A119" s="15" t="s">
        <v>378</v>
      </c>
      <c r="B119" s="15" t="s">
        <v>379</v>
      </c>
      <c r="C119" s="15" t="s">
        <v>54</v>
      </c>
      <c r="D119" s="16">
        <v>36893</v>
      </c>
      <c r="E119" s="15">
        <f t="shared" ca="1" si="6"/>
        <v>25</v>
      </c>
      <c r="F119" s="16">
        <v>44311</v>
      </c>
      <c r="G119" s="15">
        <f t="shared" ca="1" si="7"/>
        <v>5</v>
      </c>
      <c r="H119" s="15" t="s">
        <v>157</v>
      </c>
      <c r="I119" s="15" t="s">
        <v>134</v>
      </c>
      <c r="J119" s="15" t="s">
        <v>108</v>
      </c>
      <c r="K119" s="15" t="s">
        <v>64</v>
      </c>
      <c r="L119" s="15" t="s">
        <v>253</v>
      </c>
      <c r="M119" s="15" t="s">
        <v>55</v>
      </c>
      <c r="N119" s="15" t="s">
        <v>101</v>
      </c>
      <c r="O119" s="15" t="s">
        <v>118</v>
      </c>
      <c r="P119" s="15" t="s">
        <v>119</v>
      </c>
      <c r="Q119" s="17">
        <v>34794</v>
      </c>
    </row>
    <row r="120" spans="1:17" x14ac:dyDescent="0.35">
      <c r="A120" s="15" t="s">
        <v>380</v>
      </c>
      <c r="B120" s="15" t="s">
        <v>381</v>
      </c>
      <c r="C120" s="15" t="s">
        <v>54</v>
      </c>
      <c r="D120" s="16">
        <v>34833</v>
      </c>
      <c r="E120" s="15">
        <f t="shared" ca="1" si="6"/>
        <v>31</v>
      </c>
      <c r="F120" s="16">
        <v>42319</v>
      </c>
      <c r="G120" s="15">
        <f t="shared" ca="1" si="7"/>
        <v>10</v>
      </c>
      <c r="H120" s="15" t="s">
        <v>157</v>
      </c>
      <c r="I120" s="15" t="s">
        <v>146</v>
      </c>
      <c r="J120" s="15" t="s">
        <v>108</v>
      </c>
      <c r="K120" s="15" t="s">
        <v>66</v>
      </c>
      <c r="L120" s="15" t="s">
        <v>138</v>
      </c>
      <c r="M120" s="15" t="s">
        <v>55</v>
      </c>
      <c r="N120" s="15" t="s">
        <v>101</v>
      </c>
      <c r="O120" s="15" t="s">
        <v>118</v>
      </c>
      <c r="P120" s="15" t="s">
        <v>119</v>
      </c>
      <c r="Q120" s="17">
        <v>46287</v>
      </c>
    </row>
    <row r="121" spans="1:17" x14ac:dyDescent="0.35">
      <c r="A121" s="15" t="s">
        <v>382</v>
      </c>
      <c r="B121" s="15" t="s">
        <v>383</v>
      </c>
      <c r="C121" s="15" t="s">
        <v>54</v>
      </c>
      <c r="D121" s="16">
        <v>29553</v>
      </c>
      <c r="E121" s="15">
        <f t="shared" ca="1" si="6"/>
        <v>45</v>
      </c>
      <c r="F121" s="16">
        <v>39351</v>
      </c>
      <c r="G121" s="15">
        <f t="shared" ca="1" si="7"/>
        <v>18</v>
      </c>
      <c r="H121" s="15" t="s">
        <v>97</v>
      </c>
      <c r="I121" s="15" t="s">
        <v>192</v>
      </c>
      <c r="J121" s="15" t="s">
        <v>115</v>
      </c>
      <c r="K121" s="15" t="s">
        <v>62</v>
      </c>
      <c r="L121" s="15" t="s">
        <v>209</v>
      </c>
      <c r="M121" s="15" t="s">
        <v>55</v>
      </c>
      <c r="N121" s="15" t="s">
        <v>101</v>
      </c>
      <c r="O121" s="15" t="s">
        <v>118</v>
      </c>
      <c r="P121" s="15" t="s">
        <v>119</v>
      </c>
      <c r="Q121" s="17">
        <v>19654</v>
      </c>
    </row>
    <row r="122" spans="1:17" x14ac:dyDescent="0.35">
      <c r="A122" s="15" t="s">
        <v>384</v>
      </c>
      <c r="B122" s="15" t="s">
        <v>385</v>
      </c>
      <c r="C122" s="15" t="s">
        <v>57</v>
      </c>
      <c r="D122" s="16">
        <v>28148</v>
      </c>
      <c r="E122" s="15">
        <f t="shared" ca="1" si="6"/>
        <v>49</v>
      </c>
      <c r="F122" s="16">
        <v>45135</v>
      </c>
      <c r="G122" s="15">
        <f t="shared" ca="1" si="7"/>
        <v>3</v>
      </c>
      <c r="H122" s="15" t="s">
        <v>133</v>
      </c>
      <c r="I122" s="15" t="s">
        <v>266</v>
      </c>
      <c r="J122" s="15" t="s">
        <v>99</v>
      </c>
      <c r="K122" s="15" t="s">
        <v>56</v>
      </c>
      <c r="L122" s="15" t="s">
        <v>178</v>
      </c>
      <c r="M122" s="15" t="s">
        <v>58</v>
      </c>
      <c r="N122" s="15" t="s">
        <v>101</v>
      </c>
      <c r="O122" s="15" t="s">
        <v>118</v>
      </c>
      <c r="P122" s="15" t="s">
        <v>103</v>
      </c>
      <c r="Q122" s="17">
        <v>105624</v>
      </c>
    </row>
    <row r="123" spans="1:17" x14ac:dyDescent="0.35">
      <c r="A123" s="15" t="s">
        <v>386</v>
      </c>
      <c r="B123" s="15" t="s">
        <v>387</v>
      </c>
      <c r="C123" s="15" t="s">
        <v>54</v>
      </c>
      <c r="D123" s="16">
        <v>35998</v>
      </c>
      <c r="E123" s="15">
        <f t="shared" ca="1" si="6"/>
        <v>28</v>
      </c>
      <c r="F123" s="16">
        <v>44667</v>
      </c>
      <c r="G123" s="15">
        <f t="shared" ca="1" si="7"/>
        <v>4</v>
      </c>
      <c r="H123" s="15" t="s">
        <v>133</v>
      </c>
      <c r="I123" s="15" t="s">
        <v>142</v>
      </c>
      <c r="J123" s="15" t="s">
        <v>108</v>
      </c>
      <c r="K123" s="15" t="s">
        <v>62</v>
      </c>
      <c r="L123" s="15" t="s">
        <v>209</v>
      </c>
      <c r="M123" s="15" t="s">
        <v>55</v>
      </c>
      <c r="N123" s="15" t="s">
        <v>101</v>
      </c>
      <c r="O123" s="15" t="s">
        <v>118</v>
      </c>
      <c r="P123" s="15" t="s">
        <v>103</v>
      </c>
      <c r="Q123" s="17">
        <v>41333</v>
      </c>
    </row>
    <row r="124" spans="1:17" x14ac:dyDescent="0.35">
      <c r="A124" s="15" t="s">
        <v>388</v>
      </c>
      <c r="B124" s="15" t="s">
        <v>308</v>
      </c>
      <c r="C124" s="15" t="s">
        <v>54</v>
      </c>
      <c r="D124" s="16">
        <v>27706</v>
      </c>
      <c r="E124" s="15">
        <f t="shared" ca="1" si="6"/>
        <v>50</v>
      </c>
      <c r="F124" s="16">
        <v>41776</v>
      </c>
      <c r="G124" s="15">
        <f t="shared" ca="1" si="7"/>
        <v>12</v>
      </c>
      <c r="H124" s="15" t="s">
        <v>97</v>
      </c>
      <c r="I124" s="15" t="s">
        <v>142</v>
      </c>
      <c r="J124" s="15" t="s">
        <v>108</v>
      </c>
      <c r="K124" s="15" t="s">
        <v>66</v>
      </c>
      <c r="L124" s="15" t="s">
        <v>214</v>
      </c>
      <c r="M124" s="15" t="s">
        <v>58</v>
      </c>
      <c r="N124" s="15" t="s">
        <v>117</v>
      </c>
      <c r="O124" s="15" t="s">
        <v>130</v>
      </c>
      <c r="P124" s="15" t="s">
        <v>103</v>
      </c>
      <c r="Q124" s="17">
        <v>41008</v>
      </c>
    </row>
    <row r="125" spans="1:17" x14ac:dyDescent="0.35">
      <c r="A125" s="15" t="s">
        <v>389</v>
      </c>
      <c r="B125" s="15" t="s">
        <v>304</v>
      </c>
      <c r="C125" s="15" t="s">
        <v>54</v>
      </c>
      <c r="D125" s="16">
        <v>35345</v>
      </c>
      <c r="E125" s="15">
        <f t="shared" ca="1" si="6"/>
        <v>29</v>
      </c>
      <c r="F125" s="16">
        <v>42803</v>
      </c>
      <c r="G125" s="15">
        <f t="shared" ca="1" si="7"/>
        <v>9</v>
      </c>
      <c r="H125" s="15" t="s">
        <v>133</v>
      </c>
      <c r="I125" s="15" t="s">
        <v>142</v>
      </c>
      <c r="J125" s="15" t="s">
        <v>108</v>
      </c>
      <c r="K125" s="15" t="s">
        <v>61</v>
      </c>
      <c r="L125" s="15" t="s">
        <v>143</v>
      </c>
      <c r="M125" s="15" t="s">
        <v>60</v>
      </c>
      <c r="N125" s="15" t="s">
        <v>101</v>
      </c>
      <c r="O125" s="15" t="s">
        <v>118</v>
      </c>
      <c r="P125" s="15" t="s">
        <v>119</v>
      </c>
      <c r="Q125" s="17">
        <v>43336</v>
      </c>
    </row>
    <row r="126" spans="1:17" x14ac:dyDescent="0.35">
      <c r="A126" s="15" t="s">
        <v>390</v>
      </c>
      <c r="B126" s="15" t="s">
        <v>299</v>
      </c>
      <c r="C126" s="15" t="s">
        <v>54</v>
      </c>
      <c r="D126" s="16">
        <v>34140</v>
      </c>
      <c r="E126" s="15">
        <f t="shared" ca="1" si="6"/>
        <v>33</v>
      </c>
      <c r="F126" s="16">
        <v>43877</v>
      </c>
      <c r="G126" s="15">
        <f t="shared" ca="1" si="7"/>
        <v>6</v>
      </c>
      <c r="H126" s="15" t="s">
        <v>141</v>
      </c>
      <c r="I126" s="15" t="s">
        <v>137</v>
      </c>
      <c r="J126" s="15" t="s">
        <v>108</v>
      </c>
      <c r="K126" s="15" t="s">
        <v>63</v>
      </c>
      <c r="L126" s="15" t="s">
        <v>147</v>
      </c>
      <c r="M126" s="15" t="s">
        <v>55</v>
      </c>
      <c r="N126" s="15" t="s">
        <v>101</v>
      </c>
      <c r="O126" s="15" t="s">
        <v>118</v>
      </c>
      <c r="P126" s="15" t="s">
        <v>119</v>
      </c>
      <c r="Q126" s="17">
        <v>48929</v>
      </c>
    </row>
    <row r="127" spans="1:17" x14ac:dyDescent="0.35">
      <c r="A127" s="15" t="s">
        <v>391</v>
      </c>
      <c r="B127" s="15" t="s">
        <v>153</v>
      </c>
      <c r="C127" s="15" t="s">
        <v>57</v>
      </c>
      <c r="D127" s="16">
        <v>31122</v>
      </c>
      <c r="E127" s="15">
        <f t="shared" ca="1" si="6"/>
        <v>41</v>
      </c>
      <c r="F127" s="16">
        <v>40282</v>
      </c>
      <c r="G127" s="15">
        <f t="shared" ca="1" si="7"/>
        <v>16</v>
      </c>
      <c r="H127" s="15" t="s">
        <v>157</v>
      </c>
      <c r="I127" s="15" t="s">
        <v>122</v>
      </c>
      <c r="J127" s="15" t="s">
        <v>115</v>
      </c>
      <c r="K127" s="15" t="s">
        <v>59</v>
      </c>
      <c r="L127" s="15" t="s">
        <v>123</v>
      </c>
      <c r="M127" s="15" t="s">
        <v>55</v>
      </c>
      <c r="N127" s="15" t="s">
        <v>101</v>
      </c>
      <c r="O127" s="15" t="s">
        <v>130</v>
      </c>
      <c r="P127" s="15" t="s">
        <v>119</v>
      </c>
      <c r="Q127" s="17">
        <v>23543</v>
      </c>
    </row>
    <row r="128" spans="1:17" x14ac:dyDescent="0.35">
      <c r="A128" s="15" t="s">
        <v>392</v>
      </c>
      <c r="B128" s="15" t="s">
        <v>393</v>
      </c>
      <c r="C128" s="15" t="s">
        <v>57</v>
      </c>
      <c r="D128" s="16">
        <v>36147</v>
      </c>
      <c r="E128" s="15">
        <f t="shared" ca="1" si="6"/>
        <v>27</v>
      </c>
      <c r="F128" s="16">
        <v>46063</v>
      </c>
      <c r="G128" s="15">
        <f t="shared" ca="1" si="7"/>
        <v>0</v>
      </c>
      <c r="H128" s="15" t="s">
        <v>106</v>
      </c>
      <c r="I128" s="15" t="s">
        <v>142</v>
      </c>
      <c r="J128" s="15" t="s">
        <v>108</v>
      </c>
      <c r="K128" s="15" t="s">
        <v>66</v>
      </c>
      <c r="L128" s="15" t="s">
        <v>198</v>
      </c>
      <c r="M128" s="15" t="s">
        <v>55</v>
      </c>
      <c r="N128" s="15" t="s">
        <v>117</v>
      </c>
      <c r="O128" s="15" t="s">
        <v>130</v>
      </c>
      <c r="P128" s="15" t="s">
        <v>119</v>
      </c>
      <c r="Q128" s="17">
        <v>48140</v>
      </c>
    </row>
    <row r="129" spans="1:17" x14ac:dyDescent="0.35">
      <c r="A129" s="15" t="s">
        <v>394</v>
      </c>
      <c r="B129" s="15" t="s">
        <v>395</v>
      </c>
      <c r="C129" s="15" t="s">
        <v>54</v>
      </c>
      <c r="D129" s="16">
        <v>37246</v>
      </c>
      <c r="E129" s="15">
        <f t="shared" ca="1" si="6"/>
        <v>24</v>
      </c>
      <c r="F129" s="16">
        <v>44881</v>
      </c>
      <c r="G129" s="15">
        <f t="shared" ca="1" si="7"/>
        <v>3</v>
      </c>
      <c r="H129" s="15" t="s">
        <v>141</v>
      </c>
      <c r="I129" s="15" t="s">
        <v>192</v>
      </c>
      <c r="J129" s="15" t="s">
        <v>115</v>
      </c>
      <c r="K129" s="15" t="s">
        <v>63</v>
      </c>
      <c r="L129" s="15" t="s">
        <v>147</v>
      </c>
      <c r="M129" s="15" t="s">
        <v>55</v>
      </c>
      <c r="N129" s="15" t="s">
        <v>101</v>
      </c>
      <c r="O129" s="15" t="s">
        <v>118</v>
      </c>
      <c r="P129" s="15" t="s">
        <v>119</v>
      </c>
      <c r="Q129" s="17">
        <v>23761</v>
      </c>
    </row>
    <row r="130" spans="1:17" x14ac:dyDescent="0.35">
      <c r="A130" s="15" t="s">
        <v>396</v>
      </c>
      <c r="B130" s="15" t="s">
        <v>397</v>
      </c>
      <c r="C130" s="15" t="s">
        <v>57</v>
      </c>
      <c r="D130" s="16">
        <v>34221</v>
      </c>
      <c r="E130" s="15">
        <f t="shared" ref="E130:E161" ca="1" si="8">DATEDIF(D130,TODAY(),"Y")</f>
        <v>32</v>
      </c>
      <c r="F130" s="16">
        <v>42749</v>
      </c>
      <c r="G130" s="15">
        <f t="shared" ref="G130:G161" ca="1" si="9">DATEDIF(F130,TODAY(),"Y")</f>
        <v>9</v>
      </c>
      <c r="H130" s="15" t="s">
        <v>163</v>
      </c>
      <c r="I130" s="15" t="s">
        <v>114</v>
      </c>
      <c r="J130" s="15" t="s">
        <v>115</v>
      </c>
      <c r="K130" s="15" t="s">
        <v>66</v>
      </c>
      <c r="L130" s="15" t="s">
        <v>138</v>
      </c>
      <c r="M130" s="15" t="s">
        <v>55</v>
      </c>
      <c r="N130" s="15" t="s">
        <v>101</v>
      </c>
      <c r="O130" s="15" t="s">
        <v>118</v>
      </c>
      <c r="P130" s="15" t="s">
        <v>103</v>
      </c>
      <c r="Q130" s="17">
        <v>15904</v>
      </c>
    </row>
    <row r="131" spans="1:17" x14ac:dyDescent="0.35">
      <c r="A131" s="15" t="s">
        <v>398</v>
      </c>
      <c r="B131" s="15" t="s">
        <v>399</v>
      </c>
      <c r="C131" s="15" t="s">
        <v>57</v>
      </c>
      <c r="D131" s="16">
        <v>35860</v>
      </c>
      <c r="E131" s="15">
        <f t="shared" ca="1" si="8"/>
        <v>28</v>
      </c>
      <c r="F131" s="16">
        <v>44963</v>
      </c>
      <c r="G131" s="15">
        <f t="shared" ca="1" si="9"/>
        <v>3</v>
      </c>
      <c r="H131" s="15" t="s">
        <v>150</v>
      </c>
      <c r="I131" s="15" t="s">
        <v>146</v>
      </c>
      <c r="J131" s="15" t="s">
        <v>108</v>
      </c>
      <c r="K131" s="15" t="s">
        <v>63</v>
      </c>
      <c r="L131" s="15" t="s">
        <v>151</v>
      </c>
      <c r="M131" s="15" t="s">
        <v>55</v>
      </c>
      <c r="N131" s="15" t="s">
        <v>101</v>
      </c>
      <c r="O131" s="15" t="s">
        <v>118</v>
      </c>
      <c r="P131" s="15" t="s">
        <v>119</v>
      </c>
      <c r="Q131" s="17">
        <v>36338</v>
      </c>
    </row>
    <row r="132" spans="1:17" x14ac:dyDescent="0.35">
      <c r="A132" s="15" t="s">
        <v>400</v>
      </c>
      <c r="B132" s="15" t="s">
        <v>401</v>
      </c>
      <c r="C132" s="15" t="s">
        <v>57</v>
      </c>
      <c r="D132" s="16">
        <v>25357</v>
      </c>
      <c r="E132" s="15">
        <f t="shared" ca="1" si="8"/>
        <v>57</v>
      </c>
      <c r="F132" s="16">
        <v>40704</v>
      </c>
      <c r="G132" s="15">
        <f t="shared" ca="1" si="9"/>
        <v>15</v>
      </c>
      <c r="H132" s="15" t="s">
        <v>157</v>
      </c>
      <c r="I132" s="15" t="s">
        <v>98</v>
      </c>
      <c r="J132" s="15" t="s">
        <v>99</v>
      </c>
      <c r="K132" s="15" t="s">
        <v>66</v>
      </c>
      <c r="L132" s="15" t="s">
        <v>198</v>
      </c>
      <c r="M132" s="15" t="s">
        <v>60</v>
      </c>
      <c r="N132" s="15" t="s">
        <v>101</v>
      </c>
      <c r="O132" s="15" t="s">
        <v>110</v>
      </c>
      <c r="P132" s="15" t="s">
        <v>119</v>
      </c>
      <c r="Q132" s="17">
        <v>102042</v>
      </c>
    </row>
    <row r="133" spans="1:17" x14ac:dyDescent="0.35">
      <c r="A133" s="15" t="s">
        <v>402</v>
      </c>
      <c r="B133" s="15" t="s">
        <v>403</v>
      </c>
      <c r="C133" s="15" t="s">
        <v>54</v>
      </c>
      <c r="D133" s="16">
        <v>27762</v>
      </c>
      <c r="E133" s="15">
        <f t="shared" ca="1" si="8"/>
        <v>50</v>
      </c>
      <c r="F133" s="16">
        <v>42754</v>
      </c>
      <c r="G133" s="15">
        <f t="shared" ca="1" si="9"/>
        <v>9</v>
      </c>
      <c r="H133" s="15" t="s">
        <v>157</v>
      </c>
      <c r="I133" s="15" t="s">
        <v>146</v>
      </c>
      <c r="J133" s="15" t="s">
        <v>108</v>
      </c>
      <c r="K133" s="15" t="s">
        <v>65</v>
      </c>
      <c r="L133" s="15" t="s">
        <v>109</v>
      </c>
      <c r="M133" s="15" t="s">
        <v>55</v>
      </c>
      <c r="N133" s="15" t="s">
        <v>101</v>
      </c>
      <c r="O133" s="15" t="s">
        <v>102</v>
      </c>
      <c r="P133" s="15" t="s">
        <v>103</v>
      </c>
      <c r="Q133" s="17">
        <v>35297</v>
      </c>
    </row>
    <row r="134" spans="1:17" x14ac:dyDescent="0.35">
      <c r="A134" s="15" t="s">
        <v>404</v>
      </c>
      <c r="B134" s="15" t="s">
        <v>405</v>
      </c>
      <c r="C134" s="15" t="s">
        <v>57</v>
      </c>
      <c r="D134" s="16">
        <v>27926</v>
      </c>
      <c r="E134" s="15">
        <f t="shared" ca="1" si="8"/>
        <v>50</v>
      </c>
      <c r="F134" s="16">
        <v>46032</v>
      </c>
      <c r="G134" s="15">
        <f t="shared" ca="1" si="9"/>
        <v>0</v>
      </c>
      <c r="H134" s="15" t="s">
        <v>106</v>
      </c>
      <c r="I134" s="15" t="s">
        <v>137</v>
      </c>
      <c r="J134" s="15" t="s">
        <v>108</v>
      </c>
      <c r="K134" s="15" t="s">
        <v>65</v>
      </c>
      <c r="L134" s="15" t="s">
        <v>172</v>
      </c>
      <c r="M134" s="15" t="s">
        <v>55</v>
      </c>
      <c r="N134" s="15" t="s">
        <v>101</v>
      </c>
      <c r="O134" s="15" t="s">
        <v>118</v>
      </c>
      <c r="P134" s="15" t="s">
        <v>119</v>
      </c>
      <c r="Q134" s="17">
        <v>54524</v>
      </c>
    </row>
    <row r="135" spans="1:17" x14ac:dyDescent="0.35">
      <c r="A135" s="15" t="s">
        <v>406</v>
      </c>
      <c r="B135" s="15" t="s">
        <v>407</v>
      </c>
      <c r="C135" s="15" t="s">
        <v>54</v>
      </c>
      <c r="D135" s="16">
        <v>28847</v>
      </c>
      <c r="E135" s="15">
        <f t="shared" ca="1" si="8"/>
        <v>47</v>
      </c>
      <c r="F135" s="16">
        <v>44419</v>
      </c>
      <c r="G135" s="15">
        <f t="shared" ca="1" si="9"/>
        <v>5</v>
      </c>
      <c r="H135" s="15" t="s">
        <v>408</v>
      </c>
      <c r="I135" s="15" t="s">
        <v>134</v>
      </c>
      <c r="J135" s="15" t="s">
        <v>108</v>
      </c>
      <c r="K135" s="15" t="s">
        <v>59</v>
      </c>
      <c r="L135" s="15" t="s">
        <v>123</v>
      </c>
      <c r="M135" s="15" t="s">
        <v>55</v>
      </c>
      <c r="N135" s="15" t="s">
        <v>101</v>
      </c>
      <c r="O135" s="15" t="s">
        <v>118</v>
      </c>
      <c r="P135" s="15" t="s">
        <v>103</v>
      </c>
      <c r="Q135" s="17">
        <v>45686</v>
      </c>
    </row>
    <row r="136" spans="1:17" x14ac:dyDescent="0.35">
      <c r="A136" s="15" t="s">
        <v>409</v>
      </c>
      <c r="B136" s="15" t="s">
        <v>410</v>
      </c>
      <c r="C136" s="15" t="s">
        <v>57</v>
      </c>
      <c r="D136" s="16">
        <v>28719</v>
      </c>
      <c r="E136" s="15">
        <f t="shared" ca="1" si="8"/>
        <v>48</v>
      </c>
      <c r="F136" s="16">
        <v>40825</v>
      </c>
      <c r="G136" s="15">
        <f t="shared" ca="1" si="9"/>
        <v>14</v>
      </c>
      <c r="H136" s="15" t="s">
        <v>150</v>
      </c>
      <c r="I136" s="15" t="s">
        <v>192</v>
      </c>
      <c r="J136" s="15" t="s">
        <v>115</v>
      </c>
      <c r="K136" s="15" t="s">
        <v>56</v>
      </c>
      <c r="L136" s="15" t="s">
        <v>116</v>
      </c>
      <c r="M136" s="15" t="s">
        <v>55</v>
      </c>
      <c r="N136" s="15" t="s">
        <v>101</v>
      </c>
      <c r="O136" s="15" t="s">
        <v>102</v>
      </c>
      <c r="P136" s="15" t="s">
        <v>119</v>
      </c>
      <c r="Q136" s="17">
        <v>20775</v>
      </c>
    </row>
    <row r="137" spans="1:17" x14ac:dyDescent="0.35">
      <c r="A137" s="15" t="s">
        <v>411</v>
      </c>
      <c r="B137" s="15" t="s">
        <v>412</v>
      </c>
      <c r="C137" s="15" t="s">
        <v>54</v>
      </c>
      <c r="D137" s="16">
        <v>33430</v>
      </c>
      <c r="E137" s="15">
        <f t="shared" ca="1" si="8"/>
        <v>35</v>
      </c>
      <c r="F137" s="16">
        <v>40964</v>
      </c>
      <c r="G137" s="15">
        <f t="shared" ca="1" si="9"/>
        <v>14</v>
      </c>
      <c r="H137" s="15" t="s">
        <v>168</v>
      </c>
      <c r="I137" s="15" t="s">
        <v>146</v>
      </c>
      <c r="J137" s="15" t="s">
        <v>108</v>
      </c>
      <c r="K137" s="15" t="s">
        <v>64</v>
      </c>
      <c r="L137" s="15" t="s">
        <v>185</v>
      </c>
      <c r="M137" s="15" t="s">
        <v>55</v>
      </c>
      <c r="N137" s="15" t="s">
        <v>101</v>
      </c>
      <c r="O137" s="15" t="s">
        <v>102</v>
      </c>
      <c r="P137" s="15" t="s">
        <v>119</v>
      </c>
      <c r="Q137" s="17">
        <v>37826</v>
      </c>
    </row>
    <row r="138" spans="1:17" x14ac:dyDescent="0.35">
      <c r="A138" s="15" t="s">
        <v>413</v>
      </c>
      <c r="B138" s="15" t="s">
        <v>414</v>
      </c>
      <c r="C138" s="15" t="s">
        <v>54</v>
      </c>
      <c r="D138" s="16">
        <v>31662</v>
      </c>
      <c r="E138" s="15">
        <f t="shared" ca="1" si="8"/>
        <v>39</v>
      </c>
      <c r="F138" s="16">
        <v>42918</v>
      </c>
      <c r="G138" s="15">
        <f t="shared" ca="1" si="9"/>
        <v>9</v>
      </c>
      <c r="H138" s="15" t="s">
        <v>408</v>
      </c>
      <c r="I138" s="15" t="s">
        <v>169</v>
      </c>
      <c r="J138" s="15" t="s">
        <v>115</v>
      </c>
      <c r="K138" s="15" t="s">
        <v>62</v>
      </c>
      <c r="L138" s="15" t="s">
        <v>154</v>
      </c>
      <c r="M138" s="15" t="s">
        <v>58</v>
      </c>
      <c r="N138" s="15" t="s">
        <v>101</v>
      </c>
      <c r="O138" s="15" t="s">
        <v>102</v>
      </c>
      <c r="P138" s="15" t="s">
        <v>119</v>
      </c>
      <c r="Q138" s="17">
        <v>17331</v>
      </c>
    </row>
    <row r="139" spans="1:17" x14ac:dyDescent="0.35">
      <c r="A139" s="15" t="s">
        <v>415</v>
      </c>
      <c r="B139" s="15" t="s">
        <v>416</v>
      </c>
      <c r="C139" s="15" t="s">
        <v>54</v>
      </c>
      <c r="D139" s="16">
        <v>26030</v>
      </c>
      <c r="E139" s="15">
        <f t="shared" ca="1" si="8"/>
        <v>55</v>
      </c>
      <c r="F139" s="16">
        <v>39894</v>
      </c>
      <c r="G139" s="15">
        <f t="shared" ca="1" si="9"/>
        <v>17</v>
      </c>
      <c r="H139" s="15" t="s">
        <v>163</v>
      </c>
      <c r="I139" s="15" t="s">
        <v>137</v>
      </c>
      <c r="J139" s="15" t="s">
        <v>108</v>
      </c>
      <c r="K139" s="15" t="s">
        <v>66</v>
      </c>
      <c r="L139" s="15" t="s">
        <v>138</v>
      </c>
      <c r="M139" s="15" t="s">
        <v>55</v>
      </c>
      <c r="N139" s="15" t="s">
        <v>101</v>
      </c>
      <c r="O139" s="15" t="s">
        <v>118</v>
      </c>
      <c r="P139" s="15" t="s">
        <v>103</v>
      </c>
      <c r="Q139" s="17">
        <v>50002</v>
      </c>
    </row>
    <row r="140" spans="1:17" x14ac:dyDescent="0.35">
      <c r="A140" s="15" t="s">
        <v>417</v>
      </c>
      <c r="B140" s="15" t="s">
        <v>418</v>
      </c>
      <c r="C140" s="15" t="s">
        <v>54</v>
      </c>
      <c r="D140" s="16">
        <v>28812</v>
      </c>
      <c r="E140" s="15">
        <f t="shared" ca="1" si="8"/>
        <v>47</v>
      </c>
      <c r="F140" s="16">
        <v>44051</v>
      </c>
      <c r="G140" s="15">
        <f t="shared" ca="1" si="9"/>
        <v>6</v>
      </c>
      <c r="H140" s="15" t="s">
        <v>113</v>
      </c>
      <c r="I140" s="15" t="s">
        <v>137</v>
      </c>
      <c r="J140" s="15" t="s">
        <v>108</v>
      </c>
      <c r="K140" s="15" t="s">
        <v>56</v>
      </c>
      <c r="L140" s="15" t="s">
        <v>116</v>
      </c>
      <c r="M140" s="15" t="s">
        <v>60</v>
      </c>
      <c r="N140" s="15" t="s">
        <v>101</v>
      </c>
      <c r="O140" s="15" t="s">
        <v>130</v>
      </c>
      <c r="P140" s="15" t="s">
        <v>119</v>
      </c>
      <c r="Q140" s="17">
        <v>35842</v>
      </c>
    </row>
    <row r="141" spans="1:17" x14ac:dyDescent="0.35">
      <c r="A141" s="15" t="s">
        <v>419</v>
      </c>
      <c r="B141" s="15" t="s">
        <v>420</v>
      </c>
      <c r="C141" s="15" t="s">
        <v>54</v>
      </c>
      <c r="D141" s="16">
        <v>37316</v>
      </c>
      <c r="E141" s="15">
        <f t="shared" ca="1" si="8"/>
        <v>24</v>
      </c>
      <c r="F141" s="16">
        <v>45232</v>
      </c>
      <c r="G141" s="15">
        <f t="shared" ca="1" si="9"/>
        <v>2</v>
      </c>
      <c r="H141" s="15" t="s">
        <v>163</v>
      </c>
      <c r="I141" s="15" t="s">
        <v>146</v>
      </c>
      <c r="J141" s="15" t="s">
        <v>108</v>
      </c>
      <c r="K141" s="15" t="s">
        <v>66</v>
      </c>
      <c r="L141" s="15" t="s">
        <v>214</v>
      </c>
      <c r="M141" s="15" t="s">
        <v>58</v>
      </c>
      <c r="N141" s="15" t="s">
        <v>101</v>
      </c>
      <c r="O141" s="15" t="s">
        <v>118</v>
      </c>
      <c r="P141" s="15" t="s">
        <v>119</v>
      </c>
      <c r="Q141" s="17">
        <v>38253</v>
      </c>
    </row>
    <row r="142" spans="1:17" x14ac:dyDescent="0.35">
      <c r="A142" s="15" t="s">
        <v>421</v>
      </c>
      <c r="B142" s="15" t="s">
        <v>257</v>
      </c>
      <c r="C142" s="15" t="s">
        <v>54</v>
      </c>
      <c r="D142" s="16">
        <v>28052</v>
      </c>
      <c r="E142" s="15">
        <f t="shared" ca="1" si="8"/>
        <v>49</v>
      </c>
      <c r="F142" s="16">
        <v>41055</v>
      </c>
      <c r="G142" s="15">
        <f t="shared" ca="1" si="9"/>
        <v>14</v>
      </c>
      <c r="H142" s="15" t="s">
        <v>141</v>
      </c>
      <c r="I142" s="15" t="s">
        <v>146</v>
      </c>
      <c r="J142" s="15" t="s">
        <v>108</v>
      </c>
      <c r="K142" s="15" t="s">
        <v>61</v>
      </c>
      <c r="L142" s="15" t="s">
        <v>143</v>
      </c>
      <c r="M142" s="15" t="s">
        <v>55</v>
      </c>
      <c r="N142" s="15" t="s">
        <v>101</v>
      </c>
      <c r="O142" s="15" t="s">
        <v>118</v>
      </c>
      <c r="P142" s="15" t="s">
        <v>103</v>
      </c>
      <c r="Q142" s="17">
        <v>44361</v>
      </c>
    </row>
    <row r="143" spans="1:17" x14ac:dyDescent="0.35">
      <c r="A143" s="15" t="s">
        <v>422</v>
      </c>
      <c r="B143" s="15" t="s">
        <v>423</v>
      </c>
      <c r="C143" s="15" t="s">
        <v>57</v>
      </c>
      <c r="D143" s="16">
        <v>27853</v>
      </c>
      <c r="E143" s="15">
        <f t="shared" ca="1" si="8"/>
        <v>50</v>
      </c>
      <c r="F143" s="16">
        <v>45864</v>
      </c>
      <c r="G143" s="15">
        <f t="shared" ca="1" si="9"/>
        <v>1</v>
      </c>
      <c r="H143" s="15" t="s">
        <v>163</v>
      </c>
      <c r="I143" s="15" t="s">
        <v>107</v>
      </c>
      <c r="J143" s="15" t="s">
        <v>108</v>
      </c>
      <c r="K143" s="15" t="s">
        <v>63</v>
      </c>
      <c r="L143" s="15" t="s">
        <v>129</v>
      </c>
      <c r="M143" s="15" t="s">
        <v>55</v>
      </c>
      <c r="N143" s="15" t="s">
        <v>117</v>
      </c>
      <c r="O143" s="15" t="s">
        <v>118</v>
      </c>
      <c r="P143" s="15" t="s">
        <v>119</v>
      </c>
      <c r="Q143" s="17">
        <v>45168</v>
      </c>
    </row>
    <row r="144" spans="1:17" x14ac:dyDescent="0.35">
      <c r="A144" s="15" t="s">
        <v>424</v>
      </c>
      <c r="B144" s="15" t="s">
        <v>425</v>
      </c>
      <c r="C144" s="15" t="s">
        <v>57</v>
      </c>
      <c r="D144" s="16">
        <v>33123</v>
      </c>
      <c r="E144" s="15">
        <f t="shared" ca="1" si="8"/>
        <v>35</v>
      </c>
      <c r="F144" s="16">
        <v>42088</v>
      </c>
      <c r="G144" s="15">
        <f t="shared" ca="1" si="9"/>
        <v>11</v>
      </c>
      <c r="H144" s="15" t="s">
        <v>106</v>
      </c>
      <c r="I144" s="15" t="s">
        <v>137</v>
      </c>
      <c r="J144" s="15" t="s">
        <v>108</v>
      </c>
      <c r="K144" s="15" t="s">
        <v>61</v>
      </c>
      <c r="L144" s="15" t="s">
        <v>238</v>
      </c>
      <c r="M144" s="15" t="s">
        <v>55</v>
      </c>
      <c r="N144" s="15" t="s">
        <v>101</v>
      </c>
      <c r="O144" s="15" t="s">
        <v>130</v>
      </c>
      <c r="P144" s="15" t="s">
        <v>103</v>
      </c>
      <c r="Q144" s="17">
        <v>49848</v>
      </c>
    </row>
    <row r="145" spans="1:17" x14ac:dyDescent="0.35">
      <c r="A145" s="15" t="s">
        <v>426</v>
      </c>
      <c r="B145" s="15" t="s">
        <v>291</v>
      </c>
      <c r="C145" s="15" t="s">
        <v>57</v>
      </c>
      <c r="D145" s="16">
        <v>33066</v>
      </c>
      <c r="E145" s="15">
        <f t="shared" ca="1" si="8"/>
        <v>36</v>
      </c>
      <c r="F145" s="16">
        <v>45014</v>
      </c>
      <c r="G145" s="15">
        <f t="shared" ca="1" si="9"/>
        <v>3</v>
      </c>
      <c r="H145" s="15" t="s">
        <v>150</v>
      </c>
      <c r="I145" s="15" t="s">
        <v>427</v>
      </c>
      <c r="J145" s="15" t="s">
        <v>259</v>
      </c>
      <c r="K145" s="15" t="s">
        <v>65</v>
      </c>
      <c r="L145" s="15" t="s">
        <v>109</v>
      </c>
      <c r="M145" s="15" t="s">
        <v>55</v>
      </c>
      <c r="N145" s="15" t="s">
        <v>101</v>
      </c>
      <c r="O145" s="15" t="s">
        <v>102</v>
      </c>
      <c r="P145" s="15" t="s">
        <v>103</v>
      </c>
      <c r="Q145" s="17">
        <v>176436</v>
      </c>
    </row>
    <row r="146" spans="1:17" x14ac:dyDescent="0.35">
      <c r="A146" s="15" t="s">
        <v>428</v>
      </c>
      <c r="B146" s="15" t="s">
        <v>387</v>
      </c>
      <c r="C146" s="15" t="s">
        <v>54</v>
      </c>
      <c r="D146" s="16">
        <v>34094</v>
      </c>
      <c r="E146" s="15">
        <f t="shared" ca="1" si="8"/>
        <v>33</v>
      </c>
      <c r="F146" s="16">
        <v>44249</v>
      </c>
      <c r="G146" s="15">
        <f t="shared" ca="1" si="9"/>
        <v>5</v>
      </c>
      <c r="H146" s="15" t="s">
        <v>168</v>
      </c>
      <c r="I146" s="15" t="s">
        <v>134</v>
      </c>
      <c r="J146" s="15" t="s">
        <v>108</v>
      </c>
      <c r="K146" s="15" t="s">
        <v>56</v>
      </c>
      <c r="L146" s="15" t="s">
        <v>164</v>
      </c>
      <c r="M146" s="15" t="s">
        <v>55</v>
      </c>
      <c r="N146" s="15" t="s">
        <v>101</v>
      </c>
      <c r="O146" s="15" t="s">
        <v>102</v>
      </c>
      <c r="P146" s="15" t="s">
        <v>119</v>
      </c>
      <c r="Q146" s="17">
        <v>49421</v>
      </c>
    </row>
    <row r="147" spans="1:17" x14ac:dyDescent="0.35">
      <c r="A147" s="15" t="s">
        <v>429</v>
      </c>
      <c r="B147" s="15" t="s">
        <v>430</v>
      </c>
      <c r="C147" s="15" t="s">
        <v>54</v>
      </c>
      <c r="D147" s="16">
        <v>34108</v>
      </c>
      <c r="E147" s="15">
        <f t="shared" ca="1" si="8"/>
        <v>33</v>
      </c>
      <c r="F147" s="16">
        <v>46046</v>
      </c>
      <c r="G147" s="15">
        <f t="shared" ca="1" si="9"/>
        <v>0</v>
      </c>
      <c r="H147" s="15" t="s">
        <v>150</v>
      </c>
      <c r="I147" s="15" t="s">
        <v>137</v>
      </c>
      <c r="J147" s="15" t="s">
        <v>108</v>
      </c>
      <c r="K147" s="15" t="s">
        <v>63</v>
      </c>
      <c r="L147" s="15" t="s">
        <v>151</v>
      </c>
      <c r="M147" s="15" t="s">
        <v>55</v>
      </c>
      <c r="N147" s="15" t="s">
        <v>117</v>
      </c>
      <c r="O147" s="15" t="s">
        <v>102</v>
      </c>
      <c r="P147" s="15" t="s">
        <v>119</v>
      </c>
      <c r="Q147" s="17">
        <v>34927</v>
      </c>
    </row>
    <row r="148" spans="1:17" x14ac:dyDescent="0.35">
      <c r="A148" s="15" t="s">
        <v>431</v>
      </c>
      <c r="B148" s="15" t="s">
        <v>432</v>
      </c>
      <c r="C148" s="15" t="s">
        <v>54</v>
      </c>
      <c r="D148" s="16">
        <v>28232</v>
      </c>
      <c r="E148" s="15">
        <f t="shared" ca="1" si="8"/>
        <v>49</v>
      </c>
      <c r="F148" s="16">
        <v>43161</v>
      </c>
      <c r="G148" s="15">
        <f t="shared" ca="1" si="9"/>
        <v>8</v>
      </c>
      <c r="H148" s="15" t="s">
        <v>160</v>
      </c>
      <c r="I148" s="15" t="s">
        <v>142</v>
      </c>
      <c r="J148" s="15" t="s">
        <v>108</v>
      </c>
      <c r="K148" s="15" t="s">
        <v>56</v>
      </c>
      <c r="L148" s="15" t="s">
        <v>178</v>
      </c>
      <c r="M148" s="15" t="s">
        <v>55</v>
      </c>
      <c r="N148" s="15" t="s">
        <v>101</v>
      </c>
      <c r="O148" s="15" t="s">
        <v>102</v>
      </c>
      <c r="P148" s="15" t="s">
        <v>103</v>
      </c>
      <c r="Q148" s="17">
        <v>30521</v>
      </c>
    </row>
    <row r="149" spans="1:17" x14ac:dyDescent="0.35">
      <c r="A149" s="15" t="s">
        <v>433</v>
      </c>
      <c r="B149" s="15" t="s">
        <v>434</v>
      </c>
      <c r="C149" s="15" t="s">
        <v>54</v>
      </c>
      <c r="D149" s="16">
        <v>33042</v>
      </c>
      <c r="E149" s="15">
        <f t="shared" ca="1" si="8"/>
        <v>36</v>
      </c>
      <c r="F149" s="16">
        <v>44459</v>
      </c>
      <c r="G149" s="15">
        <f t="shared" ca="1" si="9"/>
        <v>4</v>
      </c>
      <c r="H149" s="15" t="s">
        <v>157</v>
      </c>
      <c r="I149" s="15" t="s">
        <v>169</v>
      </c>
      <c r="J149" s="15" t="s">
        <v>115</v>
      </c>
      <c r="K149" s="15" t="s">
        <v>66</v>
      </c>
      <c r="L149" s="15" t="s">
        <v>214</v>
      </c>
      <c r="M149" s="15" t="s">
        <v>58</v>
      </c>
      <c r="N149" s="15" t="s">
        <v>165</v>
      </c>
      <c r="O149" s="15" t="s">
        <v>118</v>
      </c>
      <c r="P149" s="15" t="s">
        <v>103</v>
      </c>
      <c r="Q149" s="17">
        <v>17803</v>
      </c>
    </row>
    <row r="150" spans="1:17" x14ac:dyDescent="0.35">
      <c r="A150" s="15" t="s">
        <v>435</v>
      </c>
      <c r="B150" s="15" t="s">
        <v>436</v>
      </c>
      <c r="C150" s="15" t="s">
        <v>57</v>
      </c>
      <c r="D150" s="16">
        <v>30667</v>
      </c>
      <c r="E150" s="15">
        <f t="shared" ca="1" si="8"/>
        <v>42</v>
      </c>
      <c r="F150" s="16">
        <v>42883</v>
      </c>
      <c r="G150" s="15">
        <f t="shared" ca="1" si="9"/>
        <v>9</v>
      </c>
      <c r="H150" s="15" t="s">
        <v>168</v>
      </c>
      <c r="I150" s="15" t="s">
        <v>184</v>
      </c>
      <c r="J150" s="15" t="s">
        <v>99</v>
      </c>
      <c r="K150" s="15" t="s">
        <v>65</v>
      </c>
      <c r="L150" s="15" t="s">
        <v>204</v>
      </c>
      <c r="M150" s="15" t="s">
        <v>58</v>
      </c>
      <c r="N150" s="15" t="s">
        <v>117</v>
      </c>
      <c r="O150" s="15" t="s">
        <v>118</v>
      </c>
      <c r="P150" s="15" t="s">
        <v>103</v>
      </c>
      <c r="Q150" s="17">
        <v>72172</v>
      </c>
    </row>
    <row r="151" spans="1:17" x14ac:dyDescent="0.35">
      <c r="A151" s="15" t="s">
        <v>437</v>
      </c>
      <c r="B151" s="15" t="s">
        <v>438</v>
      </c>
      <c r="C151" s="15" t="s">
        <v>57</v>
      </c>
      <c r="D151" s="16">
        <v>36956</v>
      </c>
      <c r="E151" s="15">
        <f t="shared" ca="1" si="8"/>
        <v>25</v>
      </c>
      <c r="F151" s="16">
        <v>45553</v>
      </c>
      <c r="G151" s="15">
        <f t="shared" ca="1" si="9"/>
        <v>1</v>
      </c>
      <c r="H151" s="15" t="s">
        <v>168</v>
      </c>
      <c r="I151" s="15" t="s">
        <v>114</v>
      </c>
      <c r="J151" s="15" t="s">
        <v>115</v>
      </c>
      <c r="K151" s="15" t="s">
        <v>56</v>
      </c>
      <c r="L151" s="15" t="s">
        <v>116</v>
      </c>
      <c r="M151" s="15" t="s">
        <v>55</v>
      </c>
      <c r="N151" s="15" t="s">
        <v>101</v>
      </c>
      <c r="O151" s="15" t="s">
        <v>118</v>
      </c>
      <c r="P151" s="15" t="s">
        <v>103</v>
      </c>
      <c r="Q151" s="17">
        <v>21286</v>
      </c>
    </row>
    <row r="152" spans="1:17" x14ac:dyDescent="0.35">
      <c r="A152" s="15" t="s">
        <v>439</v>
      </c>
      <c r="B152" s="15" t="s">
        <v>440</v>
      </c>
      <c r="C152" s="15" t="s">
        <v>54</v>
      </c>
      <c r="D152" s="16">
        <v>26306</v>
      </c>
      <c r="E152" s="15">
        <f t="shared" ca="1" si="8"/>
        <v>54</v>
      </c>
      <c r="F152" s="16">
        <v>41252</v>
      </c>
      <c r="G152" s="15">
        <f t="shared" ca="1" si="9"/>
        <v>13</v>
      </c>
      <c r="H152" s="15" t="s">
        <v>141</v>
      </c>
      <c r="I152" s="15" t="s">
        <v>146</v>
      </c>
      <c r="J152" s="15" t="s">
        <v>108</v>
      </c>
      <c r="K152" s="15" t="s">
        <v>59</v>
      </c>
      <c r="L152" s="15" t="s">
        <v>123</v>
      </c>
      <c r="M152" s="15" t="s">
        <v>55</v>
      </c>
      <c r="N152" s="15" t="s">
        <v>101</v>
      </c>
      <c r="O152" s="15" t="s">
        <v>118</v>
      </c>
      <c r="P152" s="15" t="s">
        <v>103</v>
      </c>
      <c r="Q152" s="17">
        <v>53704</v>
      </c>
    </row>
    <row r="153" spans="1:17" x14ac:dyDescent="0.35">
      <c r="A153" s="15" t="s">
        <v>441</v>
      </c>
      <c r="B153" s="15" t="s">
        <v>393</v>
      </c>
      <c r="C153" s="15" t="s">
        <v>57</v>
      </c>
      <c r="D153" s="16">
        <v>27615</v>
      </c>
      <c r="E153" s="15">
        <f t="shared" ca="1" si="8"/>
        <v>51</v>
      </c>
      <c r="F153" s="16">
        <v>39490</v>
      </c>
      <c r="G153" s="15">
        <f t="shared" ca="1" si="9"/>
        <v>18</v>
      </c>
      <c r="H153" s="15" t="s">
        <v>157</v>
      </c>
      <c r="I153" s="15" t="s">
        <v>169</v>
      </c>
      <c r="J153" s="15" t="s">
        <v>115</v>
      </c>
      <c r="K153" s="15" t="s">
        <v>65</v>
      </c>
      <c r="L153" s="15" t="s">
        <v>109</v>
      </c>
      <c r="M153" s="15" t="s">
        <v>55</v>
      </c>
      <c r="N153" s="15" t="s">
        <v>101</v>
      </c>
      <c r="O153" s="15" t="s">
        <v>130</v>
      </c>
      <c r="P153" s="15" t="s">
        <v>119</v>
      </c>
      <c r="Q153" s="17">
        <v>15036</v>
      </c>
    </row>
    <row r="154" spans="1:17" x14ac:dyDescent="0.35">
      <c r="A154" s="15" t="s">
        <v>442</v>
      </c>
      <c r="B154" s="15" t="s">
        <v>261</v>
      </c>
      <c r="C154" s="15" t="s">
        <v>54</v>
      </c>
      <c r="D154" s="16">
        <v>32339</v>
      </c>
      <c r="E154" s="15">
        <f t="shared" ca="1" si="8"/>
        <v>38</v>
      </c>
      <c r="F154" s="16">
        <v>40193</v>
      </c>
      <c r="G154" s="15">
        <f t="shared" ca="1" si="9"/>
        <v>16</v>
      </c>
      <c r="H154" s="15" t="s">
        <v>97</v>
      </c>
      <c r="I154" s="15" t="s">
        <v>137</v>
      </c>
      <c r="J154" s="15" t="s">
        <v>108</v>
      </c>
      <c r="K154" s="15" t="s">
        <v>63</v>
      </c>
      <c r="L154" s="15" t="s">
        <v>151</v>
      </c>
      <c r="M154" s="15" t="s">
        <v>58</v>
      </c>
      <c r="N154" s="15" t="s">
        <v>101</v>
      </c>
      <c r="O154" s="15" t="s">
        <v>118</v>
      </c>
      <c r="P154" s="15" t="s">
        <v>103</v>
      </c>
      <c r="Q154" s="17">
        <v>48322</v>
      </c>
    </row>
    <row r="155" spans="1:17" x14ac:dyDescent="0.35">
      <c r="A155" s="15" t="s">
        <v>443</v>
      </c>
      <c r="B155" s="15" t="s">
        <v>444</v>
      </c>
      <c r="C155" s="15" t="s">
        <v>57</v>
      </c>
      <c r="D155" s="16">
        <v>32686</v>
      </c>
      <c r="E155" s="15">
        <f t="shared" ca="1" si="8"/>
        <v>37</v>
      </c>
      <c r="F155" s="16">
        <v>40926</v>
      </c>
      <c r="G155" s="15">
        <f t="shared" ca="1" si="9"/>
        <v>14</v>
      </c>
      <c r="H155" s="15" t="s">
        <v>113</v>
      </c>
      <c r="I155" s="15" t="s">
        <v>169</v>
      </c>
      <c r="J155" s="15" t="s">
        <v>115</v>
      </c>
      <c r="K155" s="15" t="s">
        <v>65</v>
      </c>
      <c r="L155" s="15" t="s">
        <v>172</v>
      </c>
      <c r="M155" s="15" t="s">
        <v>55</v>
      </c>
      <c r="N155" s="15" t="s">
        <v>101</v>
      </c>
      <c r="O155" s="15" t="s">
        <v>118</v>
      </c>
      <c r="P155" s="15" t="s">
        <v>103</v>
      </c>
      <c r="Q155" s="17">
        <v>22044</v>
      </c>
    </row>
    <row r="156" spans="1:17" x14ac:dyDescent="0.35">
      <c r="A156" s="15" t="s">
        <v>445</v>
      </c>
      <c r="B156" s="15" t="s">
        <v>446</v>
      </c>
      <c r="C156" s="15" t="s">
        <v>57</v>
      </c>
      <c r="D156" s="16">
        <v>36007</v>
      </c>
      <c r="E156" s="15">
        <f t="shared" ca="1" si="8"/>
        <v>28</v>
      </c>
      <c r="F156" s="16">
        <v>44641</v>
      </c>
      <c r="G156" s="15">
        <f t="shared" ca="1" si="9"/>
        <v>4</v>
      </c>
      <c r="H156" s="15" t="s">
        <v>157</v>
      </c>
      <c r="I156" s="15" t="s">
        <v>146</v>
      </c>
      <c r="J156" s="15" t="s">
        <v>108</v>
      </c>
      <c r="K156" s="15" t="s">
        <v>56</v>
      </c>
      <c r="L156" s="15" t="s">
        <v>164</v>
      </c>
      <c r="M156" s="15" t="s">
        <v>55</v>
      </c>
      <c r="N156" s="15" t="s">
        <v>101</v>
      </c>
      <c r="O156" s="15" t="s">
        <v>102</v>
      </c>
      <c r="P156" s="15" t="s">
        <v>103</v>
      </c>
      <c r="Q156" s="17">
        <v>51211</v>
      </c>
    </row>
    <row r="157" spans="1:17" x14ac:dyDescent="0.35">
      <c r="A157" s="15" t="s">
        <v>447</v>
      </c>
      <c r="B157" s="15" t="s">
        <v>225</v>
      </c>
      <c r="C157" s="15" t="s">
        <v>54</v>
      </c>
      <c r="D157" s="16">
        <v>36556</v>
      </c>
      <c r="E157" s="15">
        <f t="shared" ca="1" si="8"/>
        <v>26</v>
      </c>
      <c r="F157" s="16">
        <v>45469</v>
      </c>
      <c r="G157" s="15">
        <f t="shared" ca="1" si="9"/>
        <v>2</v>
      </c>
      <c r="H157" s="15" t="s">
        <v>126</v>
      </c>
      <c r="I157" s="15" t="s">
        <v>137</v>
      </c>
      <c r="J157" s="15" t="s">
        <v>108</v>
      </c>
      <c r="K157" s="15" t="s">
        <v>59</v>
      </c>
      <c r="L157" s="15" t="s">
        <v>195</v>
      </c>
      <c r="M157" s="15" t="s">
        <v>58</v>
      </c>
      <c r="N157" s="15" t="s">
        <v>101</v>
      </c>
      <c r="O157" s="15" t="s">
        <v>130</v>
      </c>
      <c r="P157" s="15" t="s">
        <v>103</v>
      </c>
      <c r="Q157" s="17">
        <v>47078</v>
      </c>
    </row>
    <row r="158" spans="1:17" x14ac:dyDescent="0.35">
      <c r="A158" s="15" t="s">
        <v>448</v>
      </c>
      <c r="B158" s="15" t="s">
        <v>325</v>
      </c>
      <c r="C158" s="15" t="s">
        <v>54</v>
      </c>
      <c r="D158" s="16">
        <v>27563</v>
      </c>
      <c r="E158" s="15">
        <f t="shared" ca="1" si="8"/>
        <v>51</v>
      </c>
      <c r="F158" s="16">
        <v>43653</v>
      </c>
      <c r="G158" s="15">
        <f t="shared" ca="1" si="9"/>
        <v>7</v>
      </c>
      <c r="H158" s="15" t="s">
        <v>133</v>
      </c>
      <c r="I158" s="15" t="s">
        <v>114</v>
      </c>
      <c r="J158" s="15" t="s">
        <v>115</v>
      </c>
      <c r="K158" s="15" t="s">
        <v>66</v>
      </c>
      <c r="L158" s="15" t="s">
        <v>198</v>
      </c>
      <c r="M158" s="15" t="s">
        <v>55</v>
      </c>
      <c r="N158" s="15" t="s">
        <v>101</v>
      </c>
      <c r="O158" s="15" t="s">
        <v>130</v>
      </c>
      <c r="P158" s="15" t="s">
        <v>119</v>
      </c>
      <c r="Q158" s="17">
        <v>20547</v>
      </c>
    </row>
    <row r="159" spans="1:17" x14ac:dyDescent="0.35">
      <c r="A159" s="15" t="s">
        <v>449</v>
      </c>
      <c r="B159" s="15" t="s">
        <v>450</v>
      </c>
      <c r="C159" s="15" t="s">
        <v>57</v>
      </c>
      <c r="D159" s="16">
        <v>32141</v>
      </c>
      <c r="E159" s="15">
        <f t="shared" ca="1" si="8"/>
        <v>38</v>
      </c>
      <c r="F159" s="16">
        <v>41417</v>
      </c>
      <c r="G159" s="15">
        <f t="shared" ca="1" si="9"/>
        <v>13</v>
      </c>
      <c r="H159" s="15" t="s">
        <v>157</v>
      </c>
      <c r="I159" s="15" t="s">
        <v>177</v>
      </c>
      <c r="J159" s="15" t="s">
        <v>99</v>
      </c>
      <c r="K159" s="15" t="s">
        <v>59</v>
      </c>
      <c r="L159" s="15" t="s">
        <v>123</v>
      </c>
      <c r="M159" s="15" t="s">
        <v>55</v>
      </c>
      <c r="N159" s="15" t="s">
        <v>101</v>
      </c>
      <c r="O159" s="15" t="s">
        <v>118</v>
      </c>
      <c r="P159" s="15" t="s">
        <v>103</v>
      </c>
      <c r="Q159" s="17">
        <v>98573</v>
      </c>
    </row>
    <row r="160" spans="1:17" x14ac:dyDescent="0.35">
      <c r="A160" s="15" t="s">
        <v>451</v>
      </c>
      <c r="B160" s="15" t="s">
        <v>452</v>
      </c>
      <c r="C160" s="15" t="s">
        <v>54</v>
      </c>
      <c r="D160" s="16">
        <v>30545</v>
      </c>
      <c r="E160" s="15">
        <f t="shared" ca="1" si="8"/>
        <v>43</v>
      </c>
      <c r="F160" s="16">
        <v>40908</v>
      </c>
      <c r="G160" s="15">
        <f t="shared" ca="1" si="9"/>
        <v>14</v>
      </c>
      <c r="H160" s="15" t="s">
        <v>160</v>
      </c>
      <c r="I160" s="15" t="s">
        <v>114</v>
      </c>
      <c r="J160" s="15" t="s">
        <v>115</v>
      </c>
      <c r="K160" s="15" t="s">
        <v>56</v>
      </c>
      <c r="L160" s="15" t="s">
        <v>164</v>
      </c>
      <c r="M160" s="15" t="s">
        <v>55</v>
      </c>
      <c r="N160" s="15" t="s">
        <v>101</v>
      </c>
      <c r="O160" s="15" t="s">
        <v>102</v>
      </c>
      <c r="P160" s="15" t="s">
        <v>103</v>
      </c>
      <c r="Q160" s="17">
        <v>19706</v>
      </c>
    </row>
    <row r="161" spans="1:17" x14ac:dyDescent="0.35">
      <c r="A161" s="15" t="s">
        <v>453</v>
      </c>
      <c r="B161" s="15" t="s">
        <v>454</v>
      </c>
      <c r="C161" s="15" t="s">
        <v>54</v>
      </c>
      <c r="D161" s="16">
        <v>35454</v>
      </c>
      <c r="E161" s="15">
        <f t="shared" ca="1" si="8"/>
        <v>29</v>
      </c>
      <c r="F161" s="16">
        <v>45527</v>
      </c>
      <c r="G161" s="15">
        <f t="shared" ca="1" si="9"/>
        <v>2</v>
      </c>
      <c r="H161" s="15" t="s">
        <v>126</v>
      </c>
      <c r="I161" s="15" t="s">
        <v>98</v>
      </c>
      <c r="J161" s="15" t="s">
        <v>99</v>
      </c>
      <c r="K161" s="15" t="s">
        <v>63</v>
      </c>
      <c r="L161" s="15" t="s">
        <v>129</v>
      </c>
      <c r="M161" s="15" t="s">
        <v>58</v>
      </c>
      <c r="N161" s="15" t="s">
        <v>101</v>
      </c>
      <c r="O161" s="15" t="s">
        <v>130</v>
      </c>
      <c r="P161" s="15" t="s">
        <v>119</v>
      </c>
      <c r="Q161" s="17">
        <v>75985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8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40" customWidth="1"/>
    <col min="3" max="3" width="16" customWidth="1"/>
    <col min="4" max="7" width="10" customWidth="1"/>
    <col min="8" max="8" width="16" customWidth="1"/>
    <col min="9" max="9" width="20" customWidth="1"/>
    <col min="10" max="10" width="22" customWidth="1"/>
  </cols>
  <sheetData>
    <row r="2" spans="2:10" ht="18" x14ac:dyDescent="0.4">
      <c r="B2" s="6" t="s">
        <v>455</v>
      </c>
    </row>
    <row r="3" spans="2:10" x14ac:dyDescent="0.35">
      <c r="B3" s="11" t="s">
        <v>456</v>
      </c>
    </row>
    <row r="5" spans="2:10" ht="26" x14ac:dyDescent="0.35">
      <c r="B5" s="13" t="s">
        <v>49</v>
      </c>
      <c r="C5" s="13" t="s">
        <v>457</v>
      </c>
      <c r="D5" s="13" t="s">
        <v>54</v>
      </c>
      <c r="E5" s="13" t="s">
        <v>57</v>
      </c>
      <c r="F5" s="13" t="s">
        <v>35</v>
      </c>
      <c r="G5" s="13" t="s">
        <v>458</v>
      </c>
      <c r="H5" s="13" t="s">
        <v>459</v>
      </c>
      <c r="I5" s="13" t="s">
        <v>460</v>
      </c>
      <c r="J5" s="13" t="s">
        <v>461</v>
      </c>
    </row>
    <row r="6" spans="2:10" x14ac:dyDescent="0.35">
      <c r="B6" s="14" t="s">
        <v>408</v>
      </c>
      <c r="C6" s="14">
        <f>COUNTIFS(Employee_Master[Department],B6,Employee_Master[Employment Status],"Active")</f>
        <v>2</v>
      </c>
      <c r="D6" s="14">
        <f>COUNTIFS(Employee_Master[Department],B6,Employee_Master[Employment Status],"Active",Employee_Master[Gender],"Male")</f>
        <v>2</v>
      </c>
      <c r="E6" s="14">
        <f>COUNTIFS(Employee_Master[Department],B6,Employee_Master[Employment Status],"Active",Employee_Master[Gender],"Female")</f>
        <v>0</v>
      </c>
      <c r="F6" s="18">
        <f t="shared" ref="F6:F18" si="0">IFERROR(E6/C6,0)</f>
        <v>0</v>
      </c>
      <c r="G6" s="19">
        <f ca="1">IFERROR(AVERAGEIFS(Employee_Master[Age],Employee_Master[Department],B6,Employee_Master[Employment Status],"Active"),0)</f>
        <v>43</v>
      </c>
      <c r="H6" s="19">
        <f ca="1">IFERROR(AVERAGEIFS(Employee_Master[Tenure (Years)],Employee_Master[Department],B6,Employee_Master[Employment Status],"Active"),0)</f>
        <v>7</v>
      </c>
      <c r="I6" s="20">
        <f>IFERROR(AVERAGEIFS(Employee_Master[Monthly Gross Salary (BDT)],Employee_Master[Department],B6,Employee_Master[Employment Status],"Active"),0)</f>
        <v>31508.5</v>
      </c>
      <c r="J6" s="20">
        <f>IFERROR(SUMIFS(Employee_Master[Monthly Gross Salary (BDT)],Employee_Master[Department],B6,Employee_Master[Employment Status],"Active"),0)</f>
        <v>63017</v>
      </c>
    </row>
    <row r="7" spans="2:10" x14ac:dyDescent="0.35">
      <c r="B7" s="14" t="s">
        <v>113</v>
      </c>
      <c r="C7" s="14">
        <f>COUNTIFS(Employee_Master[Department],B7,Employee_Master[Employment Status],"Active")</f>
        <v>13</v>
      </c>
      <c r="D7" s="14">
        <f>COUNTIFS(Employee_Master[Department],B7,Employee_Master[Employment Status],"Active",Employee_Master[Gender],"Male")</f>
        <v>8</v>
      </c>
      <c r="E7" s="14">
        <f>COUNTIFS(Employee_Master[Department],B7,Employee_Master[Employment Status],"Active",Employee_Master[Gender],"Female")</f>
        <v>5</v>
      </c>
      <c r="F7" s="18">
        <f t="shared" si="0"/>
        <v>0.38461538461538464</v>
      </c>
      <c r="G7" s="19">
        <f ca="1">IFERROR(AVERAGEIFS(Employee_Master[Age],Employee_Master[Department],B7,Employee_Master[Employment Status],"Active"),0)</f>
        <v>39</v>
      </c>
      <c r="H7" s="19">
        <f ca="1">IFERROR(AVERAGEIFS(Employee_Master[Tenure (Years)],Employee_Master[Department],B7,Employee_Master[Employment Status],"Active"),0)</f>
        <v>8.9230769230769234</v>
      </c>
      <c r="I7" s="20">
        <f>IFERROR(AVERAGEIFS(Employee_Master[Monthly Gross Salary (BDT)],Employee_Master[Department],B7,Employee_Master[Employment Status],"Active"),0)</f>
        <v>35315.153846153844</v>
      </c>
      <c r="J7" s="20">
        <f>IFERROR(SUMIFS(Employee_Master[Monthly Gross Salary (BDT)],Employee_Master[Department],B7,Employee_Master[Employment Status],"Active"),0)</f>
        <v>459097</v>
      </c>
    </row>
    <row r="8" spans="2:10" x14ac:dyDescent="0.35">
      <c r="B8" s="14" t="s">
        <v>163</v>
      </c>
      <c r="C8" s="14">
        <f>COUNTIFS(Employee_Master[Department],B8,Employee_Master[Employment Status],"Active")</f>
        <v>14</v>
      </c>
      <c r="D8" s="14">
        <f>COUNTIFS(Employee_Master[Department],B8,Employee_Master[Employment Status],"Active",Employee_Master[Gender],"Male")</f>
        <v>8</v>
      </c>
      <c r="E8" s="14">
        <f>COUNTIFS(Employee_Master[Department],B8,Employee_Master[Employment Status],"Active",Employee_Master[Gender],"Female")</f>
        <v>6</v>
      </c>
      <c r="F8" s="18">
        <f t="shared" si="0"/>
        <v>0.42857142857142855</v>
      </c>
      <c r="G8" s="19">
        <f ca="1">IFERROR(AVERAGEIFS(Employee_Master[Age],Employee_Master[Department],B8,Employee_Master[Employment Status],"Active"),0)</f>
        <v>42.714285714285715</v>
      </c>
      <c r="H8" s="19">
        <f ca="1">IFERROR(AVERAGEIFS(Employee_Master[Tenure (Years)],Employee_Master[Department],B8,Employee_Master[Employment Status],"Active"),0)</f>
        <v>9.5714285714285712</v>
      </c>
      <c r="I8" s="20">
        <f>IFERROR(AVERAGEIFS(Employee_Master[Monthly Gross Salary (BDT)],Employee_Master[Department],B8,Employee_Master[Employment Status],"Active"),0)</f>
        <v>46759.357142857145</v>
      </c>
      <c r="J8" s="20">
        <f>IFERROR(SUMIFS(Employee_Master[Monthly Gross Salary (BDT)],Employee_Master[Department],B8,Employee_Master[Employment Status],"Active"),0)</f>
        <v>654631</v>
      </c>
    </row>
    <row r="9" spans="2:10" x14ac:dyDescent="0.35">
      <c r="B9" s="14" t="s">
        <v>141</v>
      </c>
      <c r="C9" s="14">
        <f>COUNTIFS(Employee_Master[Department],B9,Employee_Master[Employment Status],"Active")</f>
        <v>14</v>
      </c>
      <c r="D9" s="14">
        <f>COUNTIFS(Employee_Master[Department],B9,Employee_Master[Employment Status],"Active",Employee_Master[Gender],"Male")</f>
        <v>11</v>
      </c>
      <c r="E9" s="14">
        <f>COUNTIFS(Employee_Master[Department],B9,Employee_Master[Employment Status],"Active",Employee_Master[Gender],"Female")</f>
        <v>3</v>
      </c>
      <c r="F9" s="18">
        <f t="shared" si="0"/>
        <v>0.21428571428571427</v>
      </c>
      <c r="G9" s="19">
        <f ca="1">IFERROR(AVERAGEIFS(Employee_Master[Age],Employee_Master[Department],B9,Employee_Master[Employment Status],"Active"),0)</f>
        <v>40.214285714285715</v>
      </c>
      <c r="H9" s="19">
        <f ca="1">IFERROR(AVERAGEIFS(Employee_Master[Tenure (Years)],Employee_Master[Department],B9,Employee_Master[Employment Status],"Active"),0)</f>
        <v>7.2857142857142856</v>
      </c>
      <c r="I9" s="20">
        <f>IFERROR(AVERAGEIFS(Employee_Master[Monthly Gross Salary (BDT)],Employee_Master[Department],B9,Employee_Master[Employment Status],"Active"),0)</f>
        <v>56226.928571428572</v>
      </c>
      <c r="J9" s="20">
        <f>IFERROR(SUMIFS(Employee_Master[Monthly Gross Salary (BDT)],Employee_Master[Department],B9,Employee_Master[Employment Status],"Active"),0)</f>
        <v>787177</v>
      </c>
    </row>
    <row r="10" spans="2:10" x14ac:dyDescent="0.35">
      <c r="B10" s="14" t="s">
        <v>133</v>
      </c>
      <c r="C10" s="14">
        <f>COUNTIFS(Employee_Master[Department],B10,Employee_Master[Employment Status],"Active")</f>
        <v>15</v>
      </c>
      <c r="D10" s="14">
        <f>COUNTIFS(Employee_Master[Department],B10,Employee_Master[Employment Status],"Active",Employee_Master[Gender],"Male")</f>
        <v>9</v>
      </c>
      <c r="E10" s="14">
        <f>COUNTIFS(Employee_Master[Department],B10,Employee_Master[Employment Status],"Active",Employee_Master[Gender],"Female")</f>
        <v>6</v>
      </c>
      <c r="F10" s="18">
        <f t="shared" si="0"/>
        <v>0.4</v>
      </c>
      <c r="G10" s="19">
        <f ca="1">IFERROR(AVERAGEIFS(Employee_Master[Age],Employee_Master[Department],B10,Employee_Master[Employment Status],"Active"),0)</f>
        <v>37.533333333333331</v>
      </c>
      <c r="H10" s="19">
        <f ca="1">IFERROR(AVERAGEIFS(Employee_Master[Tenure (Years)],Employee_Master[Department],B10,Employee_Master[Employment Status],"Active"),0)</f>
        <v>8.1999999999999993</v>
      </c>
      <c r="I10" s="20">
        <f>IFERROR(AVERAGEIFS(Employee_Master[Monthly Gross Salary (BDT)],Employee_Master[Department],B10,Employee_Master[Employment Status],"Active"),0)</f>
        <v>39156.866666666669</v>
      </c>
      <c r="J10" s="20">
        <f>IFERROR(SUMIFS(Employee_Master[Monthly Gross Salary (BDT)],Employee_Master[Department],B10,Employee_Master[Employment Status],"Active"),0)</f>
        <v>587353</v>
      </c>
    </row>
    <row r="11" spans="2:10" x14ac:dyDescent="0.35">
      <c r="B11" s="14" t="s">
        <v>157</v>
      </c>
      <c r="C11" s="14">
        <f>COUNTIFS(Employee_Master[Department],B11,Employee_Master[Employment Status],"Active")</f>
        <v>18</v>
      </c>
      <c r="D11" s="14">
        <f>COUNTIFS(Employee_Master[Department],B11,Employee_Master[Employment Status],"Active",Employee_Master[Gender],"Male")</f>
        <v>9</v>
      </c>
      <c r="E11" s="14">
        <f>COUNTIFS(Employee_Master[Department],B11,Employee_Master[Employment Status],"Active",Employee_Master[Gender],"Female")</f>
        <v>9</v>
      </c>
      <c r="F11" s="18">
        <f t="shared" si="0"/>
        <v>0.5</v>
      </c>
      <c r="G11" s="19">
        <f ca="1">IFERROR(AVERAGEIFS(Employee_Master[Age],Employee_Master[Department],B11,Employee_Master[Employment Status],"Active"),0)</f>
        <v>40.722222222222221</v>
      </c>
      <c r="H11" s="19">
        <f ca="1">IFERROR(AVERAGEIFS(Employee_Master[Tenure (Years)],Employee_Master[Department],B11,Employee_Master[Employment Status],"Active"),0)</f>
        <v>10.444444444444445</v>
      </c>
      <c r="I11" s="20">
        <f>IFERROR(AVERAGEIFS(Employee_Master[Monthly Gross Salary (BDT)],Employee_Master[Department],B11,Employee_Master[Employment Status],"Active"),0)</f>
        <v>50279.444444444445</v>
      </c>
      <c r="J11" s="20">
        <f>IFERROR(SUMIFS(Employee_Master[Monthly Gross Salary (BDT)],Employee_Master[Department],B11,Employee_Master[Employment Status],"Active"),0)</f>
        <v>905030</v>
      </c>
    </row>
    <row r="12" spans="2:10" x14ac:dyDescent="0.35">
      <c r="B12" s="14" t="s">
        <v>168</v>
      </c>
      <c r="C12" s="14">
        <f>COUNTIFS(Employee_Master[Department],B12,Employee_Master[Employment Status],"Active")</f>
        <v>12</v>
      </c>
      <c r="D12" s="14">
        <f>COUNTIFS(Employee_Master[Department],B12,Employee_Master[Employment Status],"Active",Employee_Master[Gender],"Male")</f>
        <v>7</v>
      </c>
      <c r="E12" s="14">
        <f>COUNTIFS(Employee_Master[Department],B12,Employee_Master[Employment Status],"Active",Employee_Master[Gender],"Female")</f>
        <v>5</v>
      </c>
      <c r="F12" s="18">
        <f t="shared" si="0"/>
        <v>0.41666666666666669</v>
      </c>
      <c r="G12" s="19">
        <f ca="1">IFERROR(AVERAGEIFS(Employee_Master[Age],Employee_Master[Department],B12,Employee_Master[Employment Status],"Active"),0)</f>
        <v>38.25</v>
      </c>
      <c r="H12" s="19">
        <f ca="1">IFERROR(AVERAGEIFS(Employee_Master[Tenure (Years)],Employee_Master[Department],B12,Employee_Master[Employment Status],"Active"),0)</f>
        <v>6.916666666666667</v>
      </c>
      <c r="I12" s="20">
        <f>IFERROR(AVERAGEIFS(Employee_Master[Monthly Gross Salary (BDT)],Employee_Master[Department],B12,Employee_Master[Employment Status],"Active"),0)</f>
        <v>45508.916666666664</v>
      </c>
      <c r="J12" s="20">
        <f>IFERROR(SUMIFS(Employee_Master[Monthly Gross Salary (BDT)],Employee_Master[Department],B12,Employee_Master[Employment Status],"Active"),0)</f>
        <v>546107</v>
      </c>
    </row>
    <row r="13" spans="2:10" x14ac:dyDescent="0.35">
      <c r="B13" s="14" t="s">
        <v>97</v>
      </c>
      <c r="C13" s="14">
        <f>COUNTIFS(Employee_Master[Department],B13,Employee_Master[Employment Status],"Active")</f>
        <v>11</v>
      </c>
      <c r="D13" s="14">
        <f>COUNTIFS(Employee_Master[Department],B13,Employee_Master[Employment Status],"Active",Employee_Master[Gender],"Male")</f>
        <v>9</v>
      </c>
      <c r="E13" s="14">
        <f>COUNTIFS(Employee_Master[Department],B13,Employee_Master[Employment Status],"Active",Employee_Master[Gender],"Female")</f>
        <v>2</v>
      </c>
      <c r="F13" s="18">
        <f t="shared" si="0"/>
        <v>0.18181818181818182</v>
      </c>
      <c r="G13" s="19">
        <f ca="1">IFERROR(AVERAGEIFS(Employee_Master[Age],Employee_Master[Department],B13,Employee_Master[Employment Status],"Active"),0)</f>
        <v>44</v>
      </c>
      <c r="H13" s="19">
        <f ca="1">IFERROR(AVERAGEIFS(Employee_Master[Tenure (Years)],Employee_Master[Department],B13,Employee_Master[Employment Status],"Active"),0)</f>
        <v>11.454545454545455</v>
      </c>
      <c r="I13" s="20">
        <f>IFERROR(AVERAGEIFS(Employee_Master[Monthly Gross Salary (BDT)],Employee_Master[Department],B13,Employee_Master[Employment Status],"Active"),0)</f>
        <v>51229.818181818184</v>
      </c>
      <c r="J13" s="20">
        <f>IFERROR(SUMIFS(Employee_Master[Monthly Gross Salary (BDT)],Employee_Master[Department],B13,Employee_Master[Employment Status],"Active"),0)</f>
        <v>563528</v>
      </c>
    </row>
    <row r="14" spans="2:10" x14ac:dyDescent="0.35">
      <c r="B14" s="14" t="s">
        <v>150</v>
      </c>
      <c r="C14" s="14">
        <f>COUNTIFS(Employee_Master[Department],B14,Employee_Master[Employment Status],"Active")</f>
        <v>12</v>
      </c>
      <c r="D14" s="14">
        <f>COUNTIFS(Employee_Master[Department],B14,Employee_Master[Employment Status],"Active",Employee_Master[Gender],"Male")</f>
        <v>6</v>
      </c>
      <c r="E14" s="14">
        <f>COUNTIFS(Employee_Master[Department],B14,Employee_Master[Employment Status],"Active",Employee_Master[Gender],"Female")</f>
        <v>6</v>
      </c>
      <c r="F14" s="18">
        <f t="shared" si="0"/>
        <v>0.5</v>
      </c>
      <c r="G14" s="19">
        <f ca="1">IFERROR(AVERAGEIFS(Employee_Master[Age],Employee_Master[Department],B14,Employee_Master[Employment Status],"Active"),0)</f>
        <v>38.916666666666664</v>
      </c>
      <c r="H14" s="19">
        <f ca="1">IFERROR(AVERAGEIFS(Employee_Master[Tenure (Years)],Employee_Master[Department],B14,Employee_Master[Employment Status],"Active"),0)</f>
        <v>8.75</v>
      </c>
      <c r="I14" s="20">
        <f>IFERROR(AVERAGEIFS(Employee_Master[Monthly Gross Salary (BDT)],Employee_Master[Department],B14,Employee_Master[Employment Status],"Active"),0)</f>
        <v>47837.25</v>
      </c>
      <c r="J14" s="20">
        <f>IFERROR(SUMIFS(Employee_Master[Monthly Gross Salary (BDT)],Employee_Master[Department],B14,Employee_Master[Employment Status],"Active"),0)</f>
        <v>574047</v>
      </c>
    </row>
    <row r="15" spans="2:10" x14ac:dyDescent="0.35">
      <c r="B15" s="14" t="s">
        <v>106</v>
      </c>
      <c r="C15" s="14">
        <f>COUNTIFS(Employee_Master[Department],B15,Employee_Master[Employment Status],"Active")</f>
        <v>15</v>
      </c>
      <c r="D15" s="14">
        <f>COUNTIFS(Employee_Master[Department],B15,Employee_Master[Employment Status],"Active",Employee_Master[Gender],"Male")</f>
        <v>8</v>
      </c>
      <c r="E15" s="14">
        <f>COUNTIFS(Employee_Master[Department],B15,Employee_Master[Employment Status],"Active",Employee_Master[Gender],"Female")</f>
        <v>7</v>
      </c>
      <c r="F15" s="18">
        <f t="shared" si="0"/>
        <v>0.46666666666666667</v>
      </c>
      <c r="G15" s="19">
        <f ca="1">IFERROR(AVERAGEIFS(Employee_Master[Age],Employee_Master[Department],B15,Employee_Master[Employment Status],"Active"),0)</f>
        <v>42.266666666666666</v>
      </c>
      <c r="H15" s="19">
        <f ca="1">IFERROR(AVERAGEIFS(Employee_Master[Tenure (Years)],Employee_Master[Department],B15,Employee_Master[Employment Status],"Active"),0)</f>
        <v>8.4</v>
      </c>
      <c r="I15" s="20">
        <f>IFERROR(AVERAGEIFS(Employee_Master[Monthly Gross Salary (BDT)],Employee_Master[Department],B15,Employee_Master[Employment Status],"Active"),0)</f>
        <v>42257.133333333331</v>
      </c>
      <c r="J15" s="20">
        <f>IFERROR(SUMIFS(Employee_Master[Monthly Gross Salary (BDT)],Employee_Master[Department],B15,Employee_Master[Employment Status],"Active"),0)</f>
        <v>633857</v>
      </c>
    </row>
    <row r="16" spans="2:10" x14ac:dyDescent="0.35">
      <c r="B16" s="14" t="s">
        <v>126</v>
      </c>
      <c r="C16" s="14">
        <f>COUNTIFS(Employee_Master[Department],B16,Employee_Master[Employment Status],"Active")</f>
        <v>8</v>
      </c>
      <c r="D16" s="14">
        <f>COUNTIFS(Employee_Master[Department],B16,Employee_Master[Employment Status],"Active",Employee_Master[Gender],"Male")</f>
        <v>7</v>
      </c>
      <c r="E16" s="14">
        <f>COUNTIFS(Employee_Master[Department],B16,Employee_Master[Employment Status],"Active",Employee_Master[Gender],"Female")</f>
        <v>1</v>
      </c>
      <c r="F16" s="18">
        <f t="shared" si="0"/>
        <v>0.125</v>
      </c>
      <c r="G16" s="19">
        <f ca="1">IFERROR(AVERAGEIFS(Employee_Master[Age],Employee_Master[Department],B16,Employee_Master[Employment Status],"Active"),0)</f>
        <v>35.25</v>
      </c>
      <c r="H16" s="19">
        <f ca="1">IFERROR(AVERAGEIFS(Employee_Master[Tenure (Years)],Employee_Master[Department],B16,Employee_Master[Employment Status],"Active"),0)</f>
        <v>4.75</v>
      </c>
      <c r="I16" s="20">
        <f>IFERROR(AVERAGEIFS(Employee_Master[Monthly Gross Salary (BDT)],Employee_Master[Department],B16,Employee_Master[Employment Status],"Active"),0)</f>
        <v>53615.375</v>
      </c>
      <c r="J16" s="20">
        <f>IFERROR(SUMIFS(Employee_Master[Monthly Gross Salary (BDT)],Employee_Master[Department],B16,Employee_Master[Employment Status],"Active"),0)</f>
        <v>428923</v>
      </c>
    </row>
    <row r="17" spans="2:10" x14ac:dyDescent="0.35">
      <c r="B17" s="14" t="s">
        <v>160</v>
      </c>
      <c r="C17" s="14">
        <f>COUNTIFS(Employee_Master[Department],B17,Employee_Master[Employment Status],"Active")</f>
        <v>9</v>
      </c>
      <c r="D17" s="14">
        <f>COUNTIFS(Employee_Master[Department],B17,Employee_Master[Employment Status],"Active",Employee_Master[Gender],"Male")</f>
        <v>8</v>
      </c>
      <c r="E17" s="14">
        <f>COUNTIFS(Employee_Master[Department],B17,Employee_Master[Employment Status],"Active",Employee_Master[Gender],"Female")</f>
        <v>1</v>
      </c>
      <c r="F17" s="18">
        <f t="shared" si="0"/>
        <v>0.1111111111111111</v>
      </c>
      <c r="G17" s="19">
        <f ca="1">IFERROR(AVERAGEIFS(Employee_Master[Age],Employee_Master[Department],B17,Employee_Master[Employment Status],"Active"),0)</f>
        <v>46</v>
      </c>
      <c r="H17" s="19">
        <f ca="1">IFERROR(AVERAGEIFS(Employee_Master[Tenure (Years)],Employee_Master[Department],B17,Employee_Master[Employment Status],"Active"),0)</f>
        <v>12.666666666666666</v>
      </c>
      <c r="I17" s="20">
        <f>IFERROR(AVERAGEIFS(Employee_Master[Monthly Gross Salary (BDT)],Employee_Master[Department],B17,Employee_Master[Employment Status],"Active"),0)</f>
        <v>45652</v>
      </c>
      <c r="J17" s="20">
        <f>IFERROR(SUMIFS(Employee_Master[Monthly Gross Salary (BDT)],Employee_Master[Department],B17,Employee_Master[Employment Status],"Active"),0)</f>
        <v>410868</v>
      </c>
    </row>
    <row r="18" spans="2:10" x14ac:dyDescent="0.35">
      <c r="B18" s="21" t="s">
        <v>462</v>
      </c>
      <c r="C18" s="21">
        <f>SUM(C6:C17)</f>
        <v>143</v>
      </c>
      <c r="D18" s="21">
        <f>SUM(D6:D17)</f>
        <v>92</v>
      </c>
      <c r="E18" s="21">
        <f>SUM(E6:E17)</f>
        <v>51</v>
      </c>
      <c r="F18" s="22">
        <f t="shared" si="0"/>
        <v>0.35664335664335667</v>
      </c>
      <c r="G18" s="23"/>
      <c r="H18" s="23"/>
      <c r="I18" s="24">
        <f>IFERROR(AVERAGE(I6:I17),0)</f>
        <v>45445.561987780733</v>
      </c>
      <c r="J18" s="24">
        <f>SUM(J6:J17)</f>
        <v>6613635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"/>
  <sheetViews>
    <sheetView zoomScaleNormal="100" workbookViewId="0">
      <pane ySplit="1" topLeftCell="A17" activePane="bottomLeft" state="frozen"/>
      <selection pane="bottomLeft" activeCell="C3" sqref="C3"/>
    </sheetView>
  </sheetViews>
  <sheetFormatPr defaultColWidth="8.6328125" defaultRowHeight="14.5" x14ac:dyDescent="0.35"/>
  <cols>
    <col min="1" max="2" width="26" customWidth="1"/>
    <col min="3" max="3" width="12" customWidth="1"/>
    <col min="4" max="4" width="16" customWidth="1"/>
    <col min="5" max="5" width="18" customWidth="1"/>
    <col min="6" max="6" width="12" customWidth="1"/>
    <col min="7" max="7" width="11" customWidth="1"/>
    <col min="8" max="8" width="12" customWidth="1"/>
    <col min="9" max="9" width="8" customWidth="1"/>
    <col min="10" max="10" width="22" customWidth="1"/>
  </cols>
  <sheetData>
    <row r="1" spans="1:10" ht="26" x14ac:dyDescent="0.35">
      <c r="A1" s="13" t="s">
        <v>463</v>
      </c>
      <c r="B1" s="13" t="s">
        <v>49</v>
      </c>
      <c r="C1" s="13" t="s">
        <v>53</v>
      </c>
      <c r="D1" s="13" t="s">
        <v>464</v>
      </c>
      <c r="E1" s="13" t="s">
        <v>465</v>
      </c>
      <c r="F1" s="13" t="s">
        <v>466</v>
      </c>
      <c r="G1" s="13" t="s">
        <v>467</v>
      </c>
      <c r="H1" s="13" t="s">
        <v>468</v>
      </c>
      <c r="I1" s="13" t="s">
        <v>469</v>
      </c>
      <c r="J1" s="13" t="s">
        <v>470</v>
      </c>
    </row>
    <row r="2" spans="1:10" x14ac:dyDescent="0.35">
      <c r="A2" s="15" t="s">
        <v>169</v>
      </c>
      <c r="B2" s="15" t="s">
        <v>150</v>
      </c>
      <c r="C2" s="15" t="s">
        <v>64</v>
      </c>
      <c r="D2" s="16">
        <v>45996</v>
      </c>
      <c r="E2" s="16">
        <v>46045</v>
      </c>
      <c r="F2" s="15">
        <f>E2-D2</f>
        <v>49</v>
      </c>
      <c r="G2" s="15">
        <v>124</v>
      </c>
      <c r="H2" s="15">
        <v>30</v>
      </c>
      <c r="I2" s="15">
        <v>1</v>
      </c>
      <c r="J2" s="15" t="s">
        <v>471</v>
      </c>
    </row>
    <row r="3" spans="1:10" x14ac:dyDescent="0.35">
      <c r="A3" s="15" t="s">
        <v>134</v>
      </c>
      <c r="B3" s="15" t="s">
        <v>106</v>
      </c>
      <c r="C3" s="15" t="s">
        <v>65</v>
      </c>
      <c r="D3" s="16">
        <v>46063</v>
      </c>
      <c r="E3" s="16">
        <v>46078</v>
      </c>
      <c r="F3" s="15">
        <f>E3-D3</f>
        <v>15</v>
      </c>
      <c r="G3" s="15">
        <v>203</v>
      </c>
      <c r="H3" s="15">
        <v>37</v>
      </c>
      <c r="I3" s="15">
        <v>1</v>
      </c>
      <c r="J3" s="15" t="s">
        <v>472</v>
      </c>
    </row>
    <row r="4" spans="1:10" x14ac:dyDescent="0.35">
      <c r="A4" s="15" t="s">
        <v>146</v>
      </c>
      <c r="B4" s="15" t="s">
        <v>133</v>
      </c>
      <c r="C4" s="15" t="s">
        <v>62</v>
      </c>
      <c r="D4" s="16">
        <v>45868</v>
      </c>
      <c r="E4" s="16">
        <v>45899</v>
      </c>
      <c r="F4" s="15">
        <f>E4-D4</f>
        <v>31</v>
      </c>
      <c r="G4" s="15">
        <v>207</v>
      </c>
      <c r="H4" s="15">
        <v>41</v>
      </c>
      <c r="I4" s="15">
        <v>1</v>
      </c>
      <c r="J4" s="15" t="s">
        <v>471</v>
      </c>
    </row>
    <row r="5" spans="1:10" x14ac:dyDescent="0.35">
      <c r="A5" s="15" t="s">
        <v>107</v>
      </c>
      <c r="B5" s="15" t="s">
        <v>113</v>
      </c>
      <c r="C5" s="15" t="s">
        <v>66</v>
      </c>
      <c r="D5" s="16">
        <v>45859</v>
      </c>
      <c r="E5" s="16">
        <v>45902</v>
      </c>
      <c r="F5" s="15">
        <f>E5-D5</f>
        <v>43</v>
      </c>
      <c r="G5" s="15">
        <v>44</v>
      </c>
      <c r="H5" s="15">
        <v>5</v>
      </c>
      <c r="I5" s="15">
        <v>2</v>
      </c>
      <c r="J5" s="15" t="s">
        <v>473</v>
      </c>
    </row>
    <row r="6" spans="1:10" x14ac:dyDescent="0.35">
      <c r="A6" s="15" t="s">
        <v>107</v>
      </c>
      <c r="B6" s="15" t="s">
        <v>157</v>
      </c>
      <c r="C6" s="15" t="s">
        <v>65</v>
      </c>
      <c r="D6" s="16">
        <v>46259</v>
      </c>
      <c r="E6" s="15" t="s">
        <v>474</v>
      </c>
      <c r="F6" s="15" t="s">
        <v>475</v>
      </c>
      <c r="G6" s="15">
        <v>104</v>
      </c>
      <c r="H6" s="15">
        <v>14</v>
      </c>
      <c r="I6" s="15">
        <v>2</v>
      </c>
      <c r="J6" s="15" t="s">
        <v>473</v>
      </c>
    </row>
    <row r="7" spans="1:10" x14ac:dyDescent="0.35">
      <c r="A7" s="15" t="s">
        <v>184</v>
      </c>
      <c r="B7" s="15" t="s">
        <v>168</v>
      </c>
      <c r="C7" s="15" t="s">
        <v>59</v>
      </c>
      <c r="D7" s="16">
        <v>46346</v>
      </c>
      <c r="E7" s="15" t="s">
        <v>474</v>
      </c>
      <c r="F7" s="15" t="s">
        <v>475</v>
      </c>
      <c r="G7" s="15">
        <v>95</v>
      </c>
      <c r="H7" s="15">
        <v>9</v>
      </c>
      <c r="I7" s="15">
        <v>1</v>
      </c>
      <c r="J7" s="15" t="s">
        <v>476</v>
      </c>
    </row>
    <row r="8" spans="1:10" x14ac:dyDescent="0.35">
      <c r="A8" s="15" t="s">
        <v>146</v>
      </c>
      <c r="B8" s="15" t="s">
        <v>141</v>
      </c>
      <c r="C8" s="15" t="s">
        <v>65</v>
      </c>
      <c r="D8" s="16">
        <v>46086</v>
      </c>
      <c r="E8" s="16">
        <v>46138</v>
      </c>
      <c r="F8" s="15">
        <f t="shared" ref="F8:F22" si="0">E8-D8</f>
        <v>52</v>
      </c>
      <c r="G8" s="15">
        <v>50</v>
      </c>
      <c r="H8" s="15">
        <v>8</v>
      </c>
      <c r="I8" s="15">
        <v>2</v>
      </c>
      <c r="J8" s="15" t="s">
        <v>476</v>
      </c>
    </row>
    <row r="9" spans="1:10" x14ac:dyDescent="0.35">
      <c r="A9" s="15" t="s">
        <v>134</v>
      </c>
      <c r="B9" s="15" t="s">
        <v>106</v>
      </c>
      <c r="C9" s="15" t="s">
        <v>64</v>
      </c>
      <c r="D9" s="16">
        <v>46226</v>
      </c>
      <c r="E9" s="16">
        <v>46250</v>
      </c>
      <c r="F9" s="15">
        <f t="shared" si="0"/>
        <v>24</v>
      </c>
      <c r="G9" s="15">
        <v>140</v>
      </c>
      <c r="H9" s="15">
        <v>18</v>
      </c>
      <c r="I9" s="15">
        <v>1</v>
      </c>
      <c r="J9" s="15" t="s">
        <v>473</v>
      </c>
    </row>
    <row r="10" spans="1:10" x14ac:dyDescent="0.35">
      <c r="A10" s="15" t="s">
        <v>122</v>
      </c>
      <c r="B10" s="15" t="s">
        <v>133</v>
      </c>
      <c r="C10" s="15" t="s">
        <v>66</v>
      </c>
      <c r="D10" s="16">
        <v>45667</v>
      </c>
      <c r="E10" s="16">
        <v>45712</v>
      </c>
      <c r="F10" s="15">
        <f t="shared" si="0"/>
        <v>45</v>
      </c>
      <c r="G10" s="15">
        <v>49</v>
      </c>
      <c r="H10" s="15">
        <v>5</v>
      </c>
      <c r="I10" s="15">
        <v>2</v>
      </c>
      <c r="J10" s="15" t="s">
        <v>472</v>
      </c>
    </row>
    <row r="11" spans="1:10" x14ac:dyDescent="0.35">
      <c r="A11" s="15" t="s">
        <v>137</v>
      </c>
      <c r="B11" s="15" t="s">
        <v>106</v>
      </c>
      <c r="C11" s="15" t="s">
        <v>63</v>
      </c>
      <c r="D11" s="16">
        <v>46083</v>
      </c>
      <c r="E11" s="16">
        <v>46142</v>
      </c>
      <c r="F11" s="15">
        <f t="shared" si="0"/>
        <v>59</v>
      </c>
      <c r="G11" s="15">
        <v>128</v>
      </c>
      <c r="H11" s="15">
        <v>20</v>
      </c>
      <c r="I11" s="15">
        <v>1</v>
      </c>
      <c r="J11" s="15" t="s">
        <v>477</v>
      </c>
    </row>
    <row r="12" spans="1:10" x14ac:dyDescent="0.35">
      <c r="A12" s="15" t="s">
        <v>134</v>
      </c>
      <c r="B12" s="15" t="s">
        <v>133</v>
      </c>
      <c r="C12" s="15" t="s">
        <v>56</v>
      </c>
      <c r="D12" s="16">
        <v>45888</v>
      </c>
      <c r="E12" s="16">
        <v>45936</v>
      </c>
      <c r="F12" s="15">
        <f t="shared" si="0"/>
        <v>48</v>
      </c>
      <c r="G12" s="15">
        <v>88</v>
      </c>
      <c r="H12" s="15">
        <v>9</v>
      </c>
      <c r="I12" s="15">
        <v>2</v>
      </c>
      <c r="J12" s="15" t="s">
        <v>473</v>
      </c>
    </row>
    <row r="13" spans="1:10" x14ac:dyDescent="0.35">
      <c r="A13" s="15" t="s">
        <v>142</v>
      </c>
      <c r="B13" s="15" t="s">
        <v>150</v>
      </c>
      <c r="C13" s="15" t="s">
        <v>59</v>
      </c>
      <c r="D13" s="16">
        <v>46244</v>
      </c>
      <c r="E13" s="16">
        <v>46265</v>
      </c>
      <c r="F13" s="15">
        <f t="shared" si="0"/>
        <v>21</v>
      </c>
      <c r="G13" s="15">
        <v>83</v>
      </c>
      <c r="H13" s="15">
        <v>17</v>
      </c>
      <c r="I13" s="15">
        <v>1</v>
      </c>
      <c r="J13" s="15" t="s">
        <v>476</v>
      </c>
    </row>
    <row r="14" spans="1:10" x14ac:dyDescent="0.35">
      <c r="A14" s="15" t="s">
        <v>142</v>
      </c>
      <c r="B14" s="15" t="s">
        <v>163</v>
      </c>
      <c r="C14" s="15" t="s">
        <v>62</v>
      </c>
      <c r="D14" s="16">
        <v>46093</v>
      </c>
      <c r="E14" s="16">
        <v>46113</v>
      </c>
      <c r="F14" s="15">
        <f t="shared" si="0"/>
        <v>20</v>
      </c>
      <c r="G14" s="15">
        <v>203</v>
      </c>
      <c r="H14" s="15">
        <v>44</v>
      </c>
      <c r="I14" s="15">
        <v>1</v>
      </c>
      <c r="J14" s="15" t="s">
        <v>472</v>
      </c>
    </row>
    <row r="15" spans="1:10" x14ac:dyDescent="0.35">
      <c r="A15" s="15" t="s">
        <v>146</v>
      </c>
      <c r="B15" s="15" t="s">
        <v>97</v>
      </c>
      <c r="C15" s="15" t="s">
        <v>66</v>
      </c>
      <c r="D15" s="16">
        <v>45747</v>
      </c>
      <c r="E15" s="16">
        <v>45789</v>
      </c>
      <c r="F15" s="15">
        <f t="shared" si="0"/>
        <v>42</v>
      </c>
      <c r="G15" s="15">
        <v>45</v>
      </c>
      <c r="H15" s="15">
        <v>9</v>
      </c>
      <c r="I15" s="15">
        <v>1</v>
      </c>
      <c r="J15" s="15" t="s">
        <v>476</v>
      </c>
    </row>
    <row r="16" spans="1:10" x14ac:dyDescent="0.35">
      <c r="A16" s="15" t="s">
        <v>192</v>
      </c>
      <c r="B16" s="15" t="s">
        <v>113</v>
      </c>
      <c r="C16" s="15" t="s">
        <v>65</v>
      </c>
      <c r="D16" s="16">
        <v>45827</v>
      </c>
      <c r="E16" s="16">
        <v>45880</v>
      </c>
      <c r="F16" s="15">
        <f t="shared" si="0"/>
        <v>53</v>
      </c>
      <c r="G16" s="15">
        <v>50</v>
      </c>
      <c r="H16" s="15">
        <v>10</v>
      </c>
      <c r="I16" s="15">
        <v>1</v>
      </c>
      <c r="J16" s="15" t="s">
        <v>473</v>
      </c>
    </row>
    <row r="17" spans="1:10" x14ac:dyDescent="0.35">
      <c r="A17" s="15" t="s">
        <v>114</v>
      </c>
      <c r="B17" s="15" t="s">
        <v>97</v>
      </c>
      <c r="C17" s="15" t="s">
        <v>64</v>
      </c>
      <c r="D17" s="16">
        <v>45989</v>
      </c>
      <c r="E17" s="16">
        <v>46048</v>
      </c>
      <c r="F17" s="15">
        <f t="shared" si="0"/>
        <v>59</v>
      </c>
      <c r="G17" s="15">
        <v>89</v>
      </c>
      <c r="H17" s="15">
        <v>11</v>
      </c>
      <c r="I17" s="15">
        <v>1</v>
      </c>
      <c r="J17" s="15" t="s">
        <v>471</v>
      </c>
    </row>
    <row r="18" spans="1:10" x14ac:dyDescent="0.35">
      <c r="A18" s="15" t="s">
        <v>107</v>
      </c>
      <c r="B18" s="15" t="s">
        <v>157</v>
      </c>
      <c r="C18" s="15" t="s">
        <v>61</v>
      </c>
      <c r="D18" s="16">
        <v>45941</v>
      </c>
      <c r="E18" s="16">
        <v>46010</v>
      </c>
      <c r="F18" s="15">
        <f t="shared" si="0"/>
        <v>69</v>
      </c>
      <c r="G18" s="15">
        <v>182</v>
      </c>
      <c r="H18" s="15">
        <v>18</v>
      </c>
      <c r="I18" s="15">
        <v>1</v>
      </c>
      <c r="J18" s="15" t="s">
        <v>471</v>
      </c>
    </row>
    <row r="19" spans="1:10" x14ac:dyDescent="0.35">
      <c r="A19" s="15" t="s">
        <v>142</v>
      </c>
      <c r="B19" s="15" t="s">
        <v>106</v>
      </c>
      <c r="C19" s="15" t="s">
        <v>65</v>
      </c>
      <c r="D19" s="16">
        <v>46159</v>
      </c>
      <c r="E19" s="16">
        <v>46182</v>
      </c>
      <c r="F19" s="15">
        <f t="shared" si="0"/>
        <v>23</v>
      </c>
      <c r="G19" s="15">
        <v>162</v>
      </c>
      <c r="H19" s="15">
        <v>30</v>
      </c>
      <c r="I19" s="15">
        <v>2</v>
      </c>
      <c r="J19" s="15" t="s">
        <v>476</v>
      </c>
    </row>
    <row r="20" spans="1:10" x14ac:dyDescent="0.35">
      <c r="A20" s="15" t="s">
        <v>134</v>
      </c>
      <c r="B20" s="15" t="s">
        <v>160</v>
      </c>
      <c r="C20" s="15" t="s">
        <v>65</v>
      </c>
      <c r="D20" s="16">
        <v>46185</v>
      </c>
      <c r="E20" s="16">
        <v>46246</v>
      </c>
      <c r="F20" s="15">
        <f t="shared" si="0"/>
        <v>61</v>
      </c>
      <c r="G20" s="15">
        <v>86</v>
      </c>
      <c r="H20" s="15">
        <v>17</v>
      </c>
      <c r="I20" s="15">
        <v>1</v>
      </c>
      <c r="J20" s="15" t="s">
        <v>477</v>
      </c>
    </row>
    <row r="21" spans="1:10" x14ac:dyDescent="0.35">
      <c r="A21" s="15" t="s">
        <v>122</v>
      </c>
      <c r="B21" s="15" t="s">
        <v>168</v>
      </c>
      <c r="C21" s="15" t="s">
        <v>61</v>
      </c>
      <c r="D21" s="16">
        <v>45753</v>
      </c>
      <c r="E21" s="16">
        <v>45813</v>
      </c>
      <c r="F21" s="15">
        <f t="shared" si="0"/>
        <v>60</v>
      </c>
      <c r="G21" s="15">
        <v>132</v>
      </c>
      <c r="H21" s="15">
        <v>24</v>
      </c>
      <c r="I21" s="15">
        <v>1</v>
      </c>
      <c r="J21" s="15" t="s">
        <v>471</v>
      </c>
    </row>
    <row r="22" spans="1:10" x14ac:dyDescent="0.35">
      <c r="A22" s="15" t="s">
        <v>137</v>
      </c>
      <c r="B22" s="15" t="s">
        <v>157</v>
      </c>
      <c r="C22" s="15" t="s">
        <v>62</v>
      </c>
      <c r="D22" s="16">
        <v>46164</v>
      </c>
      <c r="E22" s="16">
        <v>46195</v>
      </c>
      <c r="F22" s="15">
        <f t="shared" si="0"/>
        <v>31</v>
      </c>
      <c r="G22" s="15">
        <v>97</v>
      </c>
      <c r="H22" s="15">
        <v>21</v>
      </c>
      <c r="I22" s="15">
        <v>1</v>
      </c>
      <c r="J22" s="15" t="s">
        <v>473</v>
      </c>
    </row>
    <row r="23" spans="1:10" x14ac:dyDescent="0.35">
      <c r="A23" s="15" t="s">
        <v>478</v>
      </c>
      <c r="B23" s="15" t="s">
        <v>163</v>
      </c>
      <c r="C23" s="15" t="s">
        <v>66</v>
      </c>
      <c r="D23" s="16">
        <v>46356</v>
      </c>
      <c r="E23" s="15" t="s">
        <v>474</v>
      </c>
      <c r="F23" s="15" t="s">
        <v>475</v>
      </c>
      <c r="G23" s="15">
        <v>27</v>
      </c>
      <c r="H23" s="15">
        <v>3</v>
      </c>
      <c r="I23" s="15">
        <v>2</v>
      </c>
      <c r="J23" s="15" t="s">
        <v>472</v>
      </c>
    </row>
    <row r="24" spans="1:10" x14ac:dyDescent="0.35">
      <c r="A24" s="15" t="s">
        <v>107</v>
      </c>
      <c r="B24" s="15" t="s">
        <v>163</v>
      </c>
      <c r="C24" s="15" t="s">
        <v>61</v>
      </c>
      <c r="D24" s="16">
        <v>46096</v>
      </c>
      <c r="E24" s="16">
        <v>46122</v>
      </c>
      <c r="F24" s="15">
        <f t="shared" ref="F24:F29" si="1">E24-D24</f>
        <v>26</v>
      </c>
      <c r="G24" s="15">
        <v>191</v>
      </c>
      <c r="H24" s="15">
        <v>44</v>
      </c>
      <c r="I24" s="15">
        <v>1</v>
      </c>
      <c r="J24" s="15" t="s">
        <v>479</v>
      </c>
    </row>
    <row r="25" spans="1:10" x14ac:dyDescent="0.35">
      <c r="A25" s="15" t="s">
        <v>184</v>
      </c>
      <c r="B25" s="15" t="s">
        <v>106</v>
      </c>
      <c r="C25" s="15" t="s">
        <v>66</v>
      </c>
      <c r="D25" s="16">
        <v>45914</v>
      </c>
      <c r="E25" s="16">
        <v>45933</v>
      </c>
      <c r="F25" s="15">
        <f t="shared" si="1"/>
        <v>19</v>
      </c>
      <c r="G25" s="15">
        <v>110</v>
      </c>
      <c r="H25" s="15">
        <v>21</v>
      </c>
      <c r="I25" s="15">
        <v>1</v>
      </c>
      <c r="J25" s="15" t="s">
        <v>476</v>
      </c>
    </row>
    <row r="26" spans="1:10" x14ac:dyDescent="0.35">
      <c r="A26" s="15" t="s">
        <v>142</v>
      </c>
      <c r="B26" s="15" t="s">
        <v>126</v>
      </c>
      <c r="C26" s="15" t="s">
        <v>62</v>
      </c>
      <c r="D26" s="16">
        <v>46097</v>
      </c>
      <c r="E26" s="16">
        <v>46152</v>
      </c>
      <c r="F26" s="15">
        <f t="shared" si="1"/>
        <v>55</v>
      </c>
      <c r="G26" s="15">
        <v>38</v>
      </c>
      <c r="H26" s="15">
        <v>7</v>
      </c>
      <c r="I26" s="15">
        <v>1</v>
      </c>
      <c r="J26" s="15" t="s">
        <v>471</v>
      </c>
    </row>
    <row r="27" spans="1:10" x14ac:dyDescent="0.35">
      <c r="A27" s="15" t="s">
        <v>122</v>
      </c>
      <c r="B27" s="15" t="s">
        <v>168</v>
      </c>
      <c r="C27" s="15" t="s">
        <v>62</v>
      </c>
      <c r="D27" s="16">
        <v>46189</v>
      </c>
      <c r="E27" s="16">
        <v>46246</v>
      </c>
      <c r="F27" s="15">
        <f t="shared" si="1"/>
        <v>57</v>
      </c>
      <c r="G27" s="15">
        <v>128</v>
      </c>
      <c r="H27" s="15">
        <v>10</v>
      </c>
      <c r="I27" s="15">
        <v>1</v>
      </c>
      <c r="J27" s="15" t="s">
        <v>476</v>
      </c>
    </row>
    <row r="28" spans="1:10" x14ac:dyDescent="0.35">
      <c r="A28" s="15" t="s">
        <v>184</v>
      </c>
      <c r="B28" s="15" t="s">
        <v>141</v>
      </c>
      <c r="C28" s="15" t="s">
        <v>63</v>
      </c>
      <c r="D28" s="16">
        <v>45730</v>
      </c>
      <c r="E28" s="16">
        <v>45758</v>
      </c>
      <c r="F28" s="15">
        <f t="shared" si="1"/>
        <v>28</v>
      </c>
      <c r="G28" s="15">
        <v>113</v>
      </c>
      <c r="H28" s="15">
        <v>10</v>
      </c>
      <c r="I28" s="15">
        <v>1</v>
      </c>
      <c r="J28" s="15" t="s">
        <v>477</v>
      </c>
    </row>
    <row r="29" spans="1:10" x14ac:dyDescent="0.35">
      <c r="A29" s="15" t="s">
        <v>137</v>
      </c>
      <c r="B29" s="15" t="s">
        <v>141</v>
      </c>
      <c r="C29" s="15" t="s">
        <v>65</v>
      </c>
      <c r="D29" s="16">
        <v>45794</v>
      </c>
      <c r="E29" s="16">
        <v>45849</v>
      </c>
      <c r="F29" s="15">
        <f t="shared" si="1"/>
        <v>55</v>
      </c>
      <c r="G29" s="15">
        <v>188</v>
      </c>
      <c r="H29" s="15">
        <v>19</v>
      </c>
      <c r="I29" s="15">
        <v>1</v>
      </c>
      <c r="J29" s="15" t="s">
        <v>472</v>
      </c>
    </row>
    <row r="30" spans="1:10" x14ac:dyDescent="0.35">
      <c r="A30" s="15" t="s">
        <v>114</v>
      </c>
      <c r="B30" s="15" t="s">
        <v>113</v>
      </c>
      <c r="C30" s="15" t="s">
        <v>62</v>
      </c>
      <c r="D30" s="16">
        <v>46301</v>
      </c>
      <c r="E30" s="15" t="s">
        <v>474</v>
      </c>
      <c r="F30" s="15" t="s">
        <v>475</v>
      </c>
      <c r="G30" s="15">
        <v>53</v>
      </c>
      <c r="H30" s="15">
        <v>12</v>
      </c>
      <c r="I30" s="15">
        <v>2</v>
      </c>
      <c r="J30" s="15" t="s">
        <v>479</v>
      </c>
    </row>
    <row r="31" spans="1:10" x14ac:dyDescent="0.35">
      <c r="A31" s="15" t="s">
        <v>137</v>
      </c>
      <c r="B31" s="15" t="s">
        <v>141</v>
      </c>
      <c r="C31" s="15" t="s">
        <v>59</v>
      </c>
      <c r="D31" s="16">
        <v>46261</v>
      </c>
      <c r="E31" s="15" t="s">
        <v>474</v>
      </c>
      <c r="F31" s="15" t="s">
        <v>475</v>
      </c>
      <c r="G31" s="15">
        <v>113</v>
      </c>
      <c r="H31" s="15">
        <v>15</v>
      </c>
      <c r="I31" s="15">
        <v>2</v>
      </c>
      <c r="J31" s="15" t="s">
        <v>471</v>
      </c>
    </row>
    <row r="32" spans="1:10" x14ac:dyDescent="0.35">
      <c r="A32" s="15" t="s">
        <v>114</v>
      </c>
      <c r="B32" s="15" t="s">
        <v>97</v>
      </c>
      <c r="C32" s="15" t="s">
        <v>59</v>
      </c>
      <c r="D32" s="16">
        <v>45912</v>
      </c>
      <c r="E32" s="16">
        <v>45961</v>
      </c>
      <c r="F32" s="15">
        <f>E32-D32</f>
        <v>49</v>
      </c>
      <c r="G32" s="15">
        <v>168</v>
      </c>
      <c r="H32" s="15">
        <v>30</v>
      </c>
      <c r="I32" s="15">
        <v>1</v>
      </c>
      <c r="J32" s="15" t="s">
        <v>476</v>
      </c>
    </row>
    <row r="33" spans="1:10" x14ac:dyDescent="0.35">
      <c r="A33" s="15" t="s">
        <v>142</v>
      </c>
      <c r="B33" s="15" t="s">
        <v>97</v>
      </c>
      <c r="C33" s="15" t="s">
        <v>62</v>
      </c>
      <c r="D33" s="16">
        <v>46188</v>
      </c>
      <c r="E33" s="16">
        <v>46240</v>
      </c>
      <c r="F33" s="15">
        <f>E33-D33</f>
        <v>52</v>
      </c>
      <c r="G33" s="15">
        <v>145</v>
      </c>
      <c r="H33" s="15">
        <v>16</v>
      </c>
      <c r="I33" s="15">
        <v>2</v>
      </c>
      <c r="J33" s="15" t="s">
        <v>471</v>
      </c>
    </row>
    <row r="34" spans="1:10" x14ac:dyDescent="0.35">
      <c r="A34" s="15" t="s">
        <v>142</v>
      </c>
      <c r="B34" s="15" t="s">
        <v>163</v>
      </c>
      <c r="C34" s="15" t="s">
        <v>65</v>
      </c>
      <c r="D34" s="16">
        <v>45773</v>
      </c>
      <c r="E34" s="16">
        <v>45802</v>
      </c>
      <c r="F34" s="15">
        <f>E34-D34</f>
        <v>29</v>
      </c>
      <c r="G34" s="15">
        <v>142</v>
      </c>
      <c r="H34" s="15">
        <v>26</v>
      </c>
      <c r="I34" s="15">
        <v>1</v>
      </c>
      <c r="J34" s="15" t="s">
        <v>477</v>
      </c>
    </row>
    <row r="35" spans="1:10" x14ac:dyDescent="0.35">
      <c r="A35" s="15" t="s">
        <v>114</v>
      </c>
      <c r="B35" s="15" t="s">
        <v>113</v>
      </c>
      <c r="C35" s="15" t="s">
        <v>64</v>
      </c>
      <c r="D35" s="16">
        <v>46054</v>
      </c>
      <c r="E35" s="16">
        <v>46123</v>
      </c>
      <c r="F35" s="15">
        <f>E35-D35</f>
        <v>69</v>
      </c>
      <c r="G35" s="15">
        <v>160</v>
      </c>
      <c r="H35" s="15">
        <v>24</v>
      </c>
      <c r="I35" s="15">
        <v>1</v>
      </c>
      <c r="J35" s="15" t="s">
        <v>479</v>
      </c>
    </row>
    <row r="36" spans="1:10" x14ac:dyDescent="0.35">
      <c r="A36" s="15" t="s">
        <v>122</v>
      </c>
      <c r="B36" s="15" t="s">
        <v>168</v>
      </c>
      <c r="C36" s="15" t="s">
        <v>59</v>
      </c>
      <c r="D36" s="16">
        <v>45672</v>
      </c>
      <c r="E36" s="16">
        <v>45702</v>
      </c>
      <c r="F36" s="15">
        <f>E36-D36</f>
        <v>30</v>
      </c>
      <c r="G36" s="15">
        <v>70</v>
      </c>
      <c r="H36" s="15">
        <v>6</v>
      </c>
      <c r="I36" s="15">
        <v>1</v>
      </c>
      <c r="J36" s="15" t="s">
        <v>473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20" customWidth="1"/>
    <col min="3" max="3" width="26" customWidth="1"/>
    <col min="4" max="5" width="12" customWidth="1"/>
    <col min="6" max="7" width="14" customWidth="1"/>
    <col min="8" max="8" width="22" customWidth="1"/>
  </cols>
  <sheetData>
    <row r="1" spans="1:8" ht="26" x14ac:dyDescent="0.35">
      <c r="A1" s="13" t="s">
        <v>81</v>
      </c>
      <c r="B1" s="13" t="s">
        <v>82</v>
      </c>
      <c r="C1" s="13" t="s">
        <v>49</v>
      </c>
      <c r="D1" s="13" t="s">
        <v>480</v>
      </c>
      <c r="E1" s="13" t="s">
        <v>481</v>
      </c>
      <c r="F1" s="13" t="s">
        <v>482</v>
      </c>
      <c r="G1" s="13" t="s">
        <v>483</v>
      </c>
      <c r="H1" s="13" t="s">
        <v>484</v>
      </c>
    </row>
    <row r="2" spans="1:8" x14ac:dyDescent="0.35">
      <c r="A2" s="15" t="s">
        <v>485</v>
      </c>
      <c r="B2" s="15" t="s">
        <v>486</v>
      </c>
      <c r="C2" s="15" t="s">
        <v>157</v>
      </c>
      <c r="D2" s="16">
        <v>43648</v>
      </c>
      <c r="E2" s="16">
        <v>45475</v>
      </c>
      <c r="F2" s="15">
        <f t="shared" ref="F2:F29" si="0">ROUND((E2-D2)/30.44,1)</f>
        <v>60</v>
      </c>
      <c r="G2" s="15" t="s">
        <v>487</v>
      </c>
      <c r="H2" s="15" t="s">
        <v>79</v>
      </c>
    </row>
    <row r="3" spans="1:8" x14ac:dyDescent="0.35">
      <c r="A3" s="15" t="s">
        <v>488</v>
      </c>
      <c r="B3" s="15" t="s">
        <v>372</v>
      </c>
      <c r="C3" s="15" t="s">
        <v>150</v>
      </c>
      <c r="D3" s="16">
        <v>41843</v>
      </c>
      <c r="E3" s="16">
        <v>42659</v>
      </c>
      <c r="F3" s="15">
        <f t="shared" si="0"/>
        <v>26.8</v>
      </c>
      <c r="G3" s="15" t="s">
        <v>80</v>
      </c>
      <c r="H3" s="15" t="s">
        <v>77</v>
      </c>
    </row>
    <row r="4" spans="1:8" x14ac:dyDescent="0.35">
      <c r="A4" s="15" t="s">
        <v>489</v>
      </c>
      <c r="B4" s="15" t="s">
        <v>317</v>
      </c>
      <c r="C4" s="15" t="s">
        <v>126</v>
      </c>
      <c r="D4" s="16">
        <v>43762</v>
      </c>
      <c r="E4" s="16">
        <v>44919</v>
      </c>
      <c r="F4" s="15">
        <f t="shared" si="0"/>
        <v>38</v>
      </c>
      <c r="G4" s="15" t="s">
        <v>487</v>
      </c>
      <c r="H4" s="15" t="s">
        <v>78</v>
      </c>
    </row>
    <row r="5" spans="1:8" x14ac:dyDescent="0.35">
      <c r="A5" s="15" t="s">
        <v>490</v>
      </c>
      <c r="B5" s="15" t="s">
        <v>491</v>
      </c>
      <c r="C5" s="15" t="s">
        <v>163</v>
      </c>
      <c r="D5" s="16">
        <v>45194</v>
      </c>
      <c r="E5" s="16">
        <v>46256</v>
      </c>
      <c r="F5" s="15">
        <f t="shared" si="0"/>
        <v>34.9</v>
      </c>
      <c r="G5" s="15" t="s">
        <v>80</v>
      </c>
      <c r="H5" s="15" t="s">
        <v>79</v>
      </c>
    </row>
    <row r="6" spans="1:8" x14ac:dyDescent="0.35">
      <c r="A6" s="15" t="s">
        <v>492</v>
      </c>
      <c r="B6" s="15" t="s">
        <v>493</v>
      </c>
      <c r="C6" s="15" t="s">
        <v>133</v>
      </c>
      <c r="D6" s="16">
        <v>41521</v>
      </c>
      <c r="E6" s="16">
        <v>43734</v>
      </c>
      <c r="F6" s="15">
        <f t="shared" si="0"/>
        <v>72.7</v>
      </c>
      <c r="G6" s="15" t="s">
        <v>80</v>
      </c>
      <c r="H6" s="15" t="s">
        <v>74</v>
      </c>
    </row>
    <row r="7" spans="1:8" x14ac:dyDescent="0.35">
      <c r="A7" s="15" t="s">
        <v>494</v>
      </c>
      <c r="B7" s="15" t="s">
        <v>493</v>
      </c>
      <c r="C7" s="15" t="s">
        <v>97</v>
      </c>
      <c r="D7" s="16">
        <v>41146</v>
      </c>
      <c r="E7" s="16">
        <v>41446</v>
      </c>
      <c r="F7" s="15">
        <f t="shared" si="0"/>
        <v>9.9</v>
      </c>
      <c r="G7" s="15" t="s">
        <v>80</v>
      </c>
      <c r="H7" s="15" t="s">
        <v>77</v>
      </c>
    </row>
    <row r="8" spans="1:8" x14ac:dyDescent="0.35">
      <c r="A8" s="15" t="s">
        <v>495</v>
      </c>
      <c r="B8" s="15" t="s">
        <v>317</v>
      </c>
      <c r="C8" s="15" t="s">
        <v>126</v>
      </c>
      <c r="D8" s="16">
        <v>44902</v>
      </c>
      <c r="E8" s="16">
        <v>46251</v>
      </c>
      <c r="F8" s="15">
        <f t="shared" si="0"/>
        <v>44.3</v>
      </c>
      <c r="G8" s="15" t="s">
        <v>496</v>
      </c>
      <c r="H8" s="15" t="s">
        <v>75</v>
      </c>
    </row>
    <row r="9" spans="1:8" x14ac:dyDescent="0.35">
      <c r="A9" s="15" t="s">
        <v>497</v>
      </c>
      <c r="B9" s="15" t="s">
        <v>498</v>
      </c>
      <c r="C9" s="15" t="s">
        <v>168</v>
      </c>
      <c r="D9" s="16">
        <v>41546</v>
      </c>
      <c r="E9" s="16">
        <v>43232</v>
      </c>
      <c r="F9" s="15">
        <f t="shared" si="0"/>
        <v>55.4</v>
      </c>
      <c r="G9" s="15" t="s">
        <v>499</v>
      </c>
      <c r="H9" s="15" t="s">
        <v>74</v>
      </c>
    </row>
    <row r="10" spans="1:8" x14ac:dyDescent="0.35">
      <c r="A10" s="15" t="s">
        <v>500</v>
      </c>
      <c r="B10" s="15" t="s">
        <v>501</v>
      </c>
      <c r="C10" s="15" t="s">
        <v>126</v>
      </c>
      <c r="D10" s="16">
        <v>44347</v>
      </c>
      <c r="E10" s="16">
        <v>44537</v>
      </c>
      <c r="F10" s="15">
        <f t="shared" si="0"/>
        <v>6.2</v>
      </c>
      <c r="G10" s="15" t="s">
        <v>487</v>
      </c>
      <c r="H10" s="15" t="s">
        <v>73</v>
      </c>
    </row>
    <row r="11" spans="1:8" x14ac:dyDescent="0.35">
      <c r="A11" s="15" t="s">
        <v>502</v>
      </c>
      <c r="B11" s="15" t="s">
        <v>503</v>
      </c>
      <c r="C11" s="15" t="s">
        <v>157</v>
      </c>
      <c r="D11" s="16">
        <v>41408</v>
      </c>
      <c r="E11" s="16">
        <v>42321</v>
      </c>
      <c r="F11" s="15">
        <f t="shared" si="0"/>
        <v>30</v>
      </c>
      <c r="G11" s="15" t="s">
        <v>487</v>
      </c>
      <c r="H11" s="15" t="s">
        <v>77</v>
      </c>
    </row>
    <row r="12" spans="1:8" x14ac:dyDescent="0.35">
      <c r="A12" s="15" t="s">
        <v>504</v>
      </c>
      <c r="B12" s="15" t="s">
        <v>505</v>
      </c>
      <c r="C12" s="15" t="s">
        <v>126</v>
      </c>
      <c r="D12" s="16">
        <v>42799</v>
      </c>
      <c r="E12" s="16">
        <v>44090</v>
      </c>
      <c r="F12" s="15">
        <f t="shared" si="0"/>
        <v>42.4</v>
      </c>
      <c r="G12" s="15" t="s">
        <v>487</v>
      </c>
      <c r="H12" s="15" t="s">
        <v>80</v>
      </c>
    </row>
    <row r="13" spans="1:8" x14ac:dyDescent="0.35">
      <c r="A13" s="15" t="s">
        <v>506</v>
      </c>
      <c r="B13" s="15" t="s">
        <v>507</v>
      </c>
      <c r="C13" s="15" t="s">
        <v>408</v>
      </c>
      <c r="D13" s="16">
        <v>44404</v>
      </c>
      <c r="E13" s="16">
        <v>44772</v>
      </c>
      <c r="F13" s="15">
        <f t="shared" si="0"/>
        <v>12.1</v>
      </c>
      <c r="G13" s="15" t="s">
        <v>496</v>
      </c>
      <c r="H13" s="15" t="s">
        <v>76</v>
      </c>
    </row>
    <row r="14" spans="1:8" x14ac:dyDescent="0.35">
      <c r="A14" s="15" t="s">
        <v>508</v>
      </c>
      <c r="B14" s="15" t="s">
        <v>509</v>
      </c>
      <c r="C14" s="15" t="s">
        <v>97</v>
      </c>
      <c r="D14" s="16">
        <v>42860</v>
      </c>
      <c r="E14" s="16">
        <v>43393</v>
      </c>
      <c r="F14" s="15">
        <f t="shared" si="0"/>
        <v>17.5</v>
      </c>
      <c r="G14" s="15" t="s">
        <v>496</v>
      </c>
      <c r="H14" s="15" t="s">
        <v>73</v>
      </c>
    </row>
    <row r="15" spans="1:8" x14ac:dyDescent="0.35">
      <c r="A15" s="15" t="s">
        <v>510</v>
      </c>
      <c r="B15" s="15" t="s">
        <v>376</v>
      </c>
      <c r="C15" s="15" t="s">
        <v>97</v>
      </c>
      <c r="D15" s="16">
        <v>45280</v>
      </c>
      <c r="E15" s="16">
        <v>46152</v>
      </c>
      <c r="F15" s="15">
        <f t="shared" si="0"/>
        <v>28.6</v>
      </c>
      <c r="G15" s="15" t="s">
        <v>80</v>
      </c>
      <c r="H15" s="15" t="s">
        <v>75</v>
      </c>
    </row>
    <row r="16" spans="1:8" x14ac:dyDescent="0.35">
      <c r="A16" s="15" t="s">
        <v>511</v>
      </c>
      <c r="B16" s="15" t="s">
        <v>512</v>
      </c>
      <c r="C16" s="15" t="s">
        <v>150</v>
      </c>
      <c r="D16" s="16">
        <v>42187</v>
      </c>
      <c r="E16" s="16">
        <v>42983</v>
      </c>
      <c r="F16" s="15">
        <f t="shared" si="0"/>
        <v>26.1</v>
      </c>
      <c r="G16" s="15" t="s">
        <v>487</v>
      </c>
      <c r="H16" s="15" t="s">
        <v>77</v>
      </c>
    </row>
    <row r="17" spans="1:8" x14ac:dyDescent="0.35">
      <c r="A17" s="15" t="s">
        <v>513</v>
      </c>
      <c r="B17" s="15" t="s">
        <v>286</v>
      </c>
      <c r="C17" s="15" t="s">
        <v>106</v>
      </c>
      <c r="D17" s="16">
        <v>40257</v>
      </c>
      <c r="E17" s="16">
        <v>41809</v>
      </c>
      <c r="F17" s="15">
        <f t="shared" si="0"/>
        <v>51</v>
      </c>
      <c r="G17" s="15" t="s">
        <v>487</v>
      </c>
      <c r="H17" s="15" t="s">
        <v>77</v>
      </c>
    </row>
    <row r="18" spans="1:8" x14ac:dyDescent="0.35">
      <c r="A18" s="15" t="s">
        <v>514</v>
      </c>
      <c r="B18" s="15" t="s">
        <v>515</v>
      </c>
      <c r="C18" s="15" t="s">
        <v>408</v>
      </c>
      <c r="D18" s="16">
        <v>44519</v>
      </c>
      <c r="E18" s="16">
        <v>45674</v>
      </c>
      <c r="F18" s="15">
        <f t="shared" si="0"/>
        <v>37.9</v>
      </c>
      <c r="G18" s="15" t="s">
        <v>496</v>
      </c>
      <c r="H18" s="15" t="s">
        <v>75</v>
      </c>
    </row>
    <row r="19" spans="1:8" x14ac:dyDescent="0.35">
      <c r="A19" s="15" t="s">
        <v>516</v>
      </c>
      <c r="B19" s="15" t="s">
        <v>517</v>
      </c>
      <c r="C19" s="15" t="s">
        <v>97</v>
      </c>
      <c r="D19" s="16">
        <v>40941</v>
      </c>
      <c r="E19" s="16">
        <v>41300</v>
      </c>
      <c r="F19" s="15">
        <f t="shared" si="0"/>
        <v>11.8</v>
      </c>
      <c r="G19" s="15" t="s">
        <v>499</v>
      </c>
      <c r="H19" s="15" t="s">
        <v>77</v>
      </c>
    </row>
    <row r="20" spans="1:8" x14ac:dyDescent="0.35">
      <c r="A20" s="15" t="s">
        <v>518</v>
      </c>
      <c r="B20" s="15" t="s">
        <v>149</v>
      </c>
      <c r="C20" s="15" t="s">
        <v>126</v>
      </c>
      <c r="D20" s="16">
        <v>40874</v>
      </c>
      <c r="E20" s="16">
        <v>43432</v>
      </c>
      <c r="F20" s="15">
        <f t="shared" si="0"/>
        <v>84</v>
      </c>
      <c r="G20" s="15" t="s">
        <v>487</v>
      </c>
      <c r="H20" s="15" t="s">
        <v>79</v>
      </c>
    </row>
    <row r="21" spans="1:8" x14ac:dyDescent="0.35">
      <c r="A21" s="15" t="s">
        <v>519</v>
      </c>
      <c r="B21" s="15" t="s">
        <v>520</v>
      </c>
      <c r="C21" s="15" t="s">
        <v>168</v>
      </c>
      <c r="D21" s="16">
        <v>44830</v>
      </c>
      <c r="E21" s="16">
        <v>45265</v>
      </c>
      <c r="F21" s="15">
        <f t="shared" si="0"/>
        <v>14.3</v>
      </c>
      <c r="G21" s="15" t="s">
        <v>496</v>
      </c>
      <c r="H21" s="15" t="s">
        <v>79</v>
      </c>
    </row>
    <row r="22" spans="1:8" x14ac:dyDescent="0.35">
      <c r="A22" s="15" t="s">
        <v>521</v>
      </c>
      <c r="B22" s="15" t="s">
        <v>522</v>
      </c>
      <c r="C22" s="15" t="s">
        <v>113</v>
      </c>
      <c r="D22" s="16">
        <v>43398</v>
      </c>
      <c r="E22" s="16">
        <v>44914</v>
      </c>
      <c r="F22" s="15">
        <f t="shared" si="0"/>
        <v>49.8</v>
      </c>
      <c r="G22" s="15" t="s">
        <v>80</v>
      </c>
      <c r="H22" s="15" t="s">
        <v>75</v>
      </c>
    </row>
    <row r="23" spans="1:8" x14ac:dyDescent="0.35">
      <c r="A23" s="15" t="s">
        <v>523</v>
      </c>
      <c r="B23" s="15" t="s">
        <v>524</v>
      </c>
      <c r="C23" s="15" t="s">
        <v>141</v>
      </c>
      <c r="D23" s="16">
        <v>44968</v>
      </c>
      <c r="E23" s="16">
        <v>45594</v>
      </c>
      <c r="F23" s="15">
        <f t="shared" si="0"/>
        <v>20.6</v>
      </c>
      <c r="G23" s="15" t="s">
        <v>499</v>
      </c>
      <c r="H23" s="15" t="s">
        <v>76</v>
      </c>
    </row>
    <row r="24" spans="1:8" x14ac:dyDescent="0.35">
      <c r="A24" s="15" t="s">
        <v>525</v>
      </c>
      <c r="B24" s="15" t="s">
        <v>379</v>
      </c>
      <c r="C24" s="15" t="s">
        <v>157</v>
      </c>
      <c r="D24" s="16">
        <v>41168</v>
      </c>
      <c r="E24" s="16">
        <v>43543</v>
      </c>
      <c r="F24" s="15">
        <f t="shared" si="0"/>
        <v>78</v>
      </c>
      <c r="G24" s="15" t="s">
        <v>80</v>
      </c>
      <c r="H24" s="15" t="s">
        <v>78</v>
      </c>
    </row>
    <row r="25" spans="1:8" x14ac:dyDescent="0.35">
      <c r="A25" s="15" t="s">
        <v>526</v>
      </c>
      <c r="B25" s="15" t="s">
        <v>527</v>
      </c>
      <c r="C25" s="15" t="s">
        <v>160</v>
      </c>
      <c r="D25" s="16">
        <v>40919</v>
      </c>
      <c r="E25" s="16">
        <v>41744</v>
      </c>
      <c r="F25" s="15">
        <f t="shared" si="0"/>
        <v>27.1</v>
      </c>
      <c r="G25" s="15" t="s">
        <v>80</v>
      </c>
      <c r="H25" s="15" t="s">
        <v>73</v>
      </c>
    </row>
    <row r="26" spans="1:8" x14ac:dyDescent="0.35">
      <c r="A26" s="15" t="s">
        <v>528</v>
      </c>
      <c r="B26" s="15" t="s">
        <v>529</v>
      </c>
      <c r="C26" s="15" t="s">
        <v>160</v>
      </c>
      <c r="D26" s="16">
        <v>42212</v>
      </c>
      <c r="E26" s="16">
        <v>43849</v>
      </c>
      <c r="F26" s="15">
        <f t="shared" si="0"/>
        <v>53.8</v>
      </c>
      <c r="G26" s="15" t="s">
        <v>496</v>
      </c>
      <c r="H26" s="15" t="s">
        <v>73</v>
      </c>
    </row>
    <row r="27" spans="1:8" x14ac:dyDescent="0.35">
      <c r="A27" s="15" t="s">
        <v>530</v>
      </c>
      <c r="B27" s="15" t="s">
        <v>240</v>
      </c>
      <c r="C27" s="15" t="s">
        <v>141</v>
      </c>
      <c r="D27" s="16">
        <v>40433</v>
      </c>
      <c r="E27" s="16">
        <v>42269</v>
      </c>
      <c r="F27" s="15">
        <f t="shared" si="0"/>
        <v>60.3</v>
      </c>
      <c r="G27" s="15" t="s">
        <v>496</v>
      </c>
      <c r="H27" s="15" t="s">
        <v>78</v>
      </c>
    </row>
    <row r="28" spans="1:8" x14ac:dyDescent="0.35">
      <c r="A28" s="15" t="s">
        <v>531</v>
      </c>
      <c r="B28" s="15" t="s">
        <v>223</v>
      </c>
      <c r="C28" s="15" t="s">
        <v>141</v>
      </c>
      <c r="D28" s="16">
        <v>41173</v>
      </c>
      <c r="E28" s="16">
        <v>41401</v>
      </c>
      <c r="F28" s="15">
        <f t="shared" si="0"/>
        <v>7.5</v>
      </c>
      <c r="G28" s="15" t="s">
        <v>487</v>
      </c>
      <c r="H28" s="15" t="s">
        <v>78</v>
      </c>
    </row>
    <row r="29" spans="1:8" x14ac:dyDescent="0.35">
      <c r="A29" s="15" t="s">
        <v>532</v>
      </c>
      <c r="B29" s="15" t="s">
        <v>533</v>
      </c>
      <c r="C29" s="15" t="s">
        <v>106</v>
      </c>
      <c r="D29" s="16">
        <v>45342</v>
      </c>
      <c r="E29" s="16">
        <v>46249</v>
      </c>
      <c r="F29" s="15">
        <f t="shared" si="0"/>
        <v>29.8</v>
      </c>
      <c r="G29" s="15" t="s">
        <v>80</v>
      </c>
      <c r="H29" s="15" t="s">
        <v>76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20" customWidth="1"/>
    <col min="3" max="3" width="26" customWidth="1"/>
    <col min="4" max="4" width="34" customWidth="1"/>
    <col min="5" max="5" width="14" customWidth="1"/>
    <col min="6" max="7" width="12" customWidth="1"/>
    <col min="8" max="8" width="14" customWidth="1"/>
    <col min="9" max="9" width="12" customWidth="1"/>
  </cols>
  <sheetData>
    <row r="1" spans="1:9" ht="26" x14ac:dyDescent="0.35">
      <c r="A1" s="13" t="s">
        <v>81</v>
      </c>
      <c r="B1" s="13" t="s">
        <v>82</v>
      </c>
      <c r="C1" s="13" t="s">
        <v>49</v>
      </c>
      <c r="D1" s="13" t="s">
        <v>534</v>
      </c>
      <c r="E1" s="13" t="s">
        <v>535</v>
      </c>
      <c r="F1" s="13" t="s">
        <v>536</v>
      </c>
      <c r="G1" s="13" t="s">
        <v>537</v>
      </c>
      <c r="H1" s="13" t="s">
        <v>538</v>
      </c>
      <c r="I1" s="13" t="s">
        <v>539</v>
      </c>
    </row>
    <row r="2" spans="1:9" x14ac:dyDescent="0.35">
      <c r="A2" s="15" t="s">
        <v>127</v>
      </c>
      <c r="B2" s="15" t="s">
        <v>128</v>
      </c>
      <c r="C2" s="15" t="s">
        <v>106</v>
      </c>
      <c r="D2" s="15" t="s">
        <v>540</v>
      </c>
      <c r="E2" s="15" t="s">
        <v>541</v>
      </c>
      <c r="F2" s="16">
        <v>45717</v>
      </c>
      <c r="G2" s="16">
        <v>45722</v>
      </c>
      <c r="H2" s="15">
        <v>40</v>
      </c>
      <c r="I2" s="17">
        <v>10174</v>
      </c>
    </row>
    <row r="3" spans="1:9" x14ac:dyDescent="0.35">
      <c r="A3" s="15" t="s">
        <v>170</v>
      </c>
      <c r="B3" s="15" t="s">
        <v>171</v>
      </c>
      <c r="C3" s="15" t="s">
        <v>160</v>
      </c>
      <c r="D3" s="15" t="s">
        <v>542</v>
      </c>
      <c r="E3" s="15" t="s">
        <v>543</v>
      </c>
      <c r="F3" s="16">
        <v>46256</v>
      </c>
      <c r="G3" s="16">
        <v>46258</v>
      </c>
      <c r="H3" s="15">
        <v>16</v>
      </c>
      <c r="I3" s="17">
        <v>4115</v>
      </c>
    </row>
    <row r="4" spans="1:9" x14ac:dyDescent="0.35">
      <c r="A4" s="15" t="s">
        <v>251</v>
      </c>
      <c r="B4" s="15" t="s">
        <v>252</v>
      </c>
      <c r="C4" s="15" t="s">
        <v>160</v>
      </c>
      <c r="D4" s="15" t="s">
        <v>544</v>
      </c>
      <c r="E4" s="15" t="s">
        <v>543</v>
      </c>
      <c r="F4" s="16">
        <v>45911</v>
      </c>
      <c r="G4" s="16">
        <v>45913</v>
      </c>
      <c r="H4" s="15">
        <v>16</v>
      </c>
      <c r="I4" s="17">
        <v>5866</v>
      </c>
    </row>
    <row r="5" spans="1:9" x14ac:dyDescent="0.35">
      <c r="A5" s="15" t="s">
        <v>371</v>
      </c>
      <c r="B5" s="15" t="s">
        <v>372</v>
      </c>
      <c r="C5" s="15" t="s">
        <v>157</v>
      </c>
      <c r="D5" s="15" t="s">
        <v>545</v>
      </c>
      <c r="E5" s="15" t="s">
        <v>546</v>
      </c>
      <c r="F5" s="16">
        <v>45715</v>
      </c>
      <c r="G5" s="16">
        <v>45717</v>
      </c>
      <c r="H5" s="15">
        <v>16</v>
      </c>
      <c r="I5" s="17">
        <v>10932</v>
      </c>
    </row>
    <row r="6" spans="1:9" x14ac:dyDescent="0.35">
      <c r="A6" s="15" t="s">
        <v>212</v>
      </c>
      <c r="B6" s="15" t="s">
        <v>213</v>
      </c>
      <c r="C6" s="15" t="s">
        <v>133</v>
      </c>
      <c r="D6" s="15" t="s">
        <v>547</v>
      </c>
      <c r="E6" s="15" t="s">
        <v>543</v>
      </c>
      <c r="F6" s="16">
        <v>46021</v>
      </c>
      <c r="G6" s="16">
        <v>46023</v>
      </c>
      <c r="H6" s="15">
        <v>16</v>
      </c>
      <c r="I6" s="17">
        <v>4385</v>
      </c>
    </row>
    <row r="7" spans="1:9" x14ac:dyDescent="0.35">
      <c r="A7" s="15" t="s">
        <v>190</v>
      </c>
      <c r="B7" s="15" t="s">
        <v>191</v>
      </c>
      <c r="C7" s="15" t="s">
        <v>106</v>
      </c>
      <c r="D7" s="15" t="s">
        <v>548</v>
      </c>
      <c r="E7" s="15" t="s">
        <v>546</v>
      </c>
      <c r="F7" s="16">
        <v>46264</v>
      </c>
      <c r="G7" s="16">
        <v>46267</v>
      </c>
      <c r="H7" s="15">
        <v>24</v>
      </c>
      <c r="I7" s="17">
        <v>7378</v>
      </c>
    </row>
    <row r="8" spans="1:9" x14ac:dyDescent="0.35">
      <c r="A8" s="15" t="s">
        <v>316</v>
      </c>
      <c r="B8" s="15" t="s">
        <v>317</v>
      </c>
      <c r="C8" s="15" t="s">
        <v>163</v>
      </c>
      <c r="D8" s="15" t="s">
        <v>549</v>
      </c>
      <c r="E8" s="15" t="s">
        <v>543</v>
      </c>
      <c r="F8" s="16">
        <v>45686</v>
      </c>
      <c r="G8" s="16">
        <v>45689</v>
      </c>
      <c r="H8" s="15">
        <v>24</v>
      </c>
      <c r="I8" s="17">
        <v>10800</v>
      </c>
    </row>
    <row r="9" spans="1:9" x14ac:dyDescent="0.35">
      <c r="A9" s="15" t="s">
        <v>210</v>
      </c>
      <c r="B9" s="15" t="s">
        <v>211</v>
      </c>
      <c r="C9" s="15" t="s">
        <v>157</v>
      </c>
      <c r="D9" s="15" t="s">
        <v>549</v>
      </c>
      <c r="E9" s="15" t="s">
        <v>543</v>
      </c>
      <c r="F9" s="16">
        <v>45803</v>
      </c>
      <c r="G9" s="16">
        <v>45805</v>
      </c>
      <c r="H9" s="15">
        <v>16</v>
      </c>
      <c r="I9" s="17">
        <v>9564</v>
      </c>
    </row>
    <row r="10" spans="1:9" x14ac:dyDescent="0.35">
      <c r="A10" s="15" t="s">
        <v>148</v>
      </c>
      <c r="B10" s="15" t="s">
        <v>149</v>
      </c>
      <c r="C10" s="15" t="s">
        <v>150</v>
      </c>
      <c r="D10" s="15" t="s">
        <v>545</v>
      </c>
      <c r="E10" s="15" t="s">
        <v>546</v>
      </c>
      <c r="F10" s="16">
        <v>45974</v>
      </c>
      <c r="G10" s="16">
        <v>45976</v>
      </c>
      <c r="H10" s="15">
        <v>16</v>
      </c>
      <c r="I10" s="17">
        <v>9535</v>
      </c>
    </row>
    <row r="11" spans="1:9" x14ac:dyDescent="0.35">
      <c r="A11" s="15" t="s">
        <v>380</v>
      </c>
      <c r="B11" s="15" t="s">
        <v>381</v>
      </c>
      <c r="C11" s="15" t="s">
        <v>157</v>
      </c>
      <c r="D11" s="15" t="s">
        <v>550</v>
      </c>
      <c r="E11" s="15" t="s">
        <v>543</v>
      </c>
      <c r="F11" s="16">
        <v>45750</v>
      </c>
      <c r="G11" s="16">
        <v>45751</v>
      </c>
      <c r="H11" s="15">
        <v>8</v>
      </c>
      <c r="I11" s="17">
        <v>5311</v>
      </c>
    </row>
    <row r="12" spans="1:9" x14ac:dyDescent="0.35">
      <c r="A12" s="15" t="s">
        <v>155</v>
      </c>
      <c r="B12" s="15" t="s">
        <v>156</v>
      </c>
      <c r="C12" s="15" t="s">
        <v>157</v>
      </c>
      <c r="D12" s="15" t="s">
        <v>549</v>
      </c>
      <c r="E12" s="15" t="s">
        <v>543</v>
      </c>
      <c r="F12" s="16">
        <v>45882</v>
      </c>
      <c r="G12" s="16">
        <v>45883</v>
      </c>
      <c r="H12" s="15">
        <v>8</v>
      </c>
      <c r="I12" s="17">
        <v>10125</v>
      </c>
    </row>
    <row r="13" spans="1:9" x14ac:dyDescent="0.35">
      <c r="A13" s="15" t="s">
        <v>236</v>
      </c>
      <c r="B13" s="15" t="s">
        <v>237</v>
      </c>
      <c r="C13" s="15" t="s">
        <v>97</v>
      </c>
      <c r="D13" s="15" t="s">
        <v>551</v>
      </c>
      <c r="E13" s="15" t="s">
        <v>541</v>
      </c>
      <c r="F13" s="16">
        <v>45658</v>
      </c>
      <c r="G13" s="16">
        <v>45661</v>
      </c>
      <c r="H13" s="15">
        <v>24</v>
      </c>
      <c r="I13" s="17">
        <v>11561</v>
      </c>
    </row>
    <row r="14" spans="1:9" x14ac:dyDescent="0.35">
      <c r="A14" s="15" t="s">
        <v>431</v>
      </c>
      <c r="B14" s="15" t="s">
        <v>432</v>
      </c>
      <c r="C14" s="15" t="s">
        <v>160</v>
      </c>
      <c r="D14" s="15" t="s">
        <v>548</v>
      </c>
      <c r="E14" s="15" t="s">
        <v>546</v>
      </c>
      <c r="F14" s="16">
        <v>45791</v>
      </c>
      <c r="G14" s="16">
        <v>45794</v>
      </c>
      <c r="H14" s="15">
        <v>24</v>
      </c>
      <c r="I14" s="17">
        <v>4407</v>
      </c>
    </row>
    <row r="15" spans="1:9" x14ac:dyDescent="0.35">
      <c r="A15" s="15" t="s">
        <v>365</v>
      </c>
      <c r="B15" s="15" t="s">
        <v>366</v>
      </c>
      <c r="C15" s="15" t="s">
        <v>150</v>
      </c>
      <c r="D15" s="15" t="s">
        <v>542</v>
      </c>
      <c r="E15" s="15" t="s">
        <v>543</v>
      </c>
      <c r="F15" s="16">
        <v>45718</v>
      </c>
      <c r="G15" s="16">
        <v>45719</v>
      </c>
      <c r="H15" s="15">
        <v>8</v>
      </c>
      <c r="I15" s="17">
        <v>3920</v>
      </c>
    </row>
    <row r="16" spans="1:9" x14ac:dyDescent="0.35">
      <c r="A16" s="15" t="s">
        <v>348</v>
      </c>
      <c r="B16" s="15" t="s">
        <v>349</v>
      </c>
      <c r="C16" s="15" t="s">
        <v>106</v>
      </c>
      <c r="D16" s="15" t="s">
        <v>549</v>
      </c>
      <c r="E16" s="15" t="s">
        <v>543</v>
      </c>
      <c r="F16" s="16">
        <v>46379</v>
      </c>
      <c r="G16" s="16">
        <v>46381</v>
      </c>
      <c r="H16" s="15">
        <v>16</v>
      </c>
      <c r="I16" s="17">
        <v>3317</v>
      </c>
    </row>
    <row r="17" spans="1:9" x14ac:dyDescent="0.35">
      <c r="A17" s="15" t="s">
        <v>394</v>
      </c>
      <c r="B17" s="15" t="s">
        <v>395</v>
      </c>
      <c r="C17" s="15" t="s">
        <v>141</v>
      </c>
      <c r="D17" s="15" t="s">
        <v>545</v>
      </c>
      <c r="E17" s="15" t="s">
        <v>546</v>
      </c>
      <c r="F17" s="16">
        <v>46031</v>
      </c>
      <c r="G17" s="16">
        <v>46032</v>
      </c>
      <c r="H17" s="15">
        <v>8</v>
      </c>
      <c r="I17" s="17">
        <v>7620</v>
      </c>
    </row>
    <row r="18" spans="1:9" x14ac:dyDescent="0.35">
      <c r="A18" s="15" t="s">
        <v>135</v>
      </c>
      <c r="B18" s="15" t="s">
        <v>136</v>
      </c>
      <c r="C18" s="15" t="s">
        <v>106</v>
      </c>
      <c r="D18" s="15" t="s">
        <v>547</v>
      </c>
      <c r="E18" s="15" t="s">
        <v>543</v>
      </c>
      <c r="F18" s="16">
        <v>46258</v>
      </c>
      <c r="G18" s="16">
        <v>46259</v>
      </c>
      <c r="H18" s="15">
        <v>8</v>
      </c>
      <c r="I18" s="17">
        <v>7014</v>
      </c>
    </row>
    <row r="19" spans="1:9" x14ac:dyDescent="0.35">
      <c r="A19" s="15" t="s">
        <v>341</v>
      </c>
      <c r="B19" s="15" t="s">
        <v>342</v>
      </c>
      <c r="C19" s="15" t="s">
        <v>133</v>
      </c>
      <c r="D19" s="15" t="s">
        <v>540</v>
      </c>
      <c r="E19" s="15" t="s">
        <v>541</v>
      </c>
      <c r="F19" s="16">
        <v>45988</v>
      </c>
      <c r="G19" s="16">
        <v>45990</v>
      </c>
      <c r="H19" s="15">
        <v>16</v>
      </c>
      <c r="I19" s="17">
        <v>4080</v>
      </c>
    </row>
    <row r="20" spans="1:9" x14ac:dyDescent="0.35">
      <c r="A20" s="15" t="s">
        <v>364</v>
      </c>
      <c r="B20" s="15" t="s">
        <v>162</v>
      </c>
      <c r="C20" s="15" t="s">
        <v>163</v>
      </c>
      <c r="D20" s="15" t="s">
        <v>547</v>
      </c>
      <c r="E20" s="15" t="s">
        <v>543</v>
      </c>
      <c r="F20" s="16">
        <v>46312</v>
      </c>
      <c r="G20" s="16">
        <v>46317</v>
      </c>
      <c r="H20" s="15">
        <v>40</v>
      </c>
      <c r="I20" s="17">
        <v>6698</v>
      </c>
    </row>
    <row r="21" spans="1:9" x14ac:dyDescent="0.35">
      <c r="A21" s="15" t="s">
        <v>239</v>
      </c>
      <c r="B21" s="15" t="s">
        <v>240</v>
      </c>
      <c r="C21" s="15" t="s">
        <v>163</v>
      </c>
      <c r="D21" s="15" t="s">
        <v>552</v>
      </c>
      <c r="E21" s="15" t="s">
        <v>543</v>
      </c>
      <c r="F21" s="16">
        <v>46382</v>
      </c>
      <c r="G21" s="16">
        <v>46385</v>
      </c>
      <c r="H21" s="15">
        <v>24</v>
      </c>
      <c r="I21" s="17">
        <v>5157</v>
      </c>
    </row>
    <row r="22" spans="1:9" x14ac:dyDescent="0.35">
      <c r="A22" s="15" t="s">
        <v>328</v>
      </c>
      <c r="B22" s="15" t="s">
        <v>329</v>
      </c>
      <c r="C22" s="15" t="s">
        <v>150</v>
      </c>
      <c r="D22" s="15" t="s">
        <v>549</v>
      </c>
      <c r="E22" s="15" t="s">
        <v>543</v>
      </c>
      <c r="F22" s="16">
        <v>45837</v>
      </c>
      <c r="G22" s="16">
        <v>45842</v>
      </c>
      <c r="H22" s="15">
        <v>40</v>
      </c>
      <c r="I22" s="17">
        <v>6526</v>
      </c>
    </row>
    <row r="23" spans="1:9" x14ac:dyDescent="0.35">
      <c r="A23" s="15" t="s">
        <v>262</v>
      </c>
      <c r="B23" s="15" t="s">
        <v>263</v>
      </c>
      <c r="C23" s="15" t="s">
        <v>126</v>
      </c>
      <c r="D23" s="15" t="s">
        <v>540</v>
      </c>
      <c r="E23" s="15" t="s">
        <v>541</v>
      </c>
      <c r="F23" s="16">
        <v>45788</v>
      </c>
      <c r="G23" s="16">
        <v>45790</v>
      </c>
      <c r="H23" s="15">
        <v>16</v>
      </c>
      <c r="I23" s="17">
        <v>1529</v>
      </c>
    </row>
    <row r="24" spans="1:9" x14ac:dyDescent="0.35">
      <c r="A24" s="15" t="s">
        <v>245</v>
      </c>
      <c r="B24" s="15" t="s">
        <v>246</v>
      </c>
      <c r="C24" s="15" t="s">
        <v>97</v>
      </c>
      <c r="D24" s="15" t="s">
        <v>549</v>
      </c>
      <c r="E24" s="15" t="s">
        <v>543</v>
      </c>
      <c r="F24" s="16">
        <v>46058</v>
      </c>
      <c r="G24" s="16">
        <v>46059</v>
      </c>
      <c r="H24" s="15">
        <v>8</v>
      </c>
      <c r="I24" s="17">
        <v>4483</v>
      </c>
    </row>
    <row r="25" spans="1:9" x14ac:dyDescent="0.35">
      <c r="A25" s="15" t="s">
        <v>294</v>
      </c>
      <c r="B25" s="15" t="s">
        <v>295</v>
      </c>
      <c r="C25" s="15" t="s">
        <v>163</v>
      </c>
      <c r="D25" s="15" t="s">
        <v>549</v>
      </c>
      <c r="E25" s="15" t="s">
        <v>543</v>
      </c>
      <c r="F25" s="16">
        <v>45983</v>
      </c>
      <c r="G25" s="16">
        <v>45985</v>
      </c>
      <c r="H25" s="15">
        <v>16</v>
      </c>
      <c r="I25" s="17">
        <v>11979</v>
      </c>
    </row>
    <row r="26" spans="1:9" x14ac:dyDescent="0.35">
      <c r="A26" s="15" t="s">
        <v>296</v>
      </c>
      <c r="B26" s="15" t="s">
        <v>291</v>
      </c>
      <c r="C26" s="15" t="s">
        <v>163</v>
      </c>
      <c r="D26" s="15" t="s">
        <v>549</v>
      </c>
      <c r="E26" s="15" t="s">
        <v>543</v>
      </c>
      <c r="F26" s="16">
        <v>45764</v>
      </c>
      <c r="G26" s="16">
        <v>45769</v>
      </c>
      <c r="H26" s="15">
        <v>40</v>
      </c>
      <c r="I26" s="17">
        <v>3804</v>
      </c>
    </row>
    <row r="27" spans="1:9" x14ac:dyDescent="0.35">
      <c r="A27" s="15" t="s">
        <v>373</v>
      </c>
      <c r="B27" s="15" t="s">
        <v>374</v>
      </c>
      <c r="C27" s="15" t="s">
        <v>150</v>
      </c>
      <c r="D27" s="15" t="s">
        <v>542</v>
      </c>
      <c r="E27" s="15" t="s">
        <v>543</v>
      </c>
      <c r="F27" s="16">
        <v>45737</v>
      </c>
      <c r="G27" s="16">
        <v>45739</v>
      </c>
      <c r="H27" s="15">
        <v>16</v>
      </c>
      <c r="I27" s="17">
        <v>7182</v>
      </c>
    </row>
    <row r="28" spans="1:9" x14ac:dyDescent="0.35">
      <c r="A28" s="15" t="s">
        <v>226</v>
      </c>
      <c r="B28" s="15" t="s">
        <v>227</v>
      </c>
      <c r="C28" s="15" t="s">
        <v>141</v>
      </c>
      <c r="D28" s="15" t="s">
        <v>542</v>
      </c>
      <c r="E28" s="15" t="s">
        <v>543</v>
      </c>
      <c r="F28" s="16">
        <v>45829</v>
      </c>
      <c r="G28" s="16">
        <v>45830</v>
      </c>
      <c r="H28" s="15">
        <v>8</v>
      </c>
      <c r="I28" s="17">
        <v>11971</v>
      </c>
    </row>
    <row r="29" spans="1:9" x14ac:dyDescent="0.35">
      <c r="A29" s="15" t="s">
        <v>139</v>
      </c>
      <c r="B29" s="15" t="s">
        <v>140</v>
      </c>
      <c r="C29" s="15" t="s">
        <v>141</v>
      </c>
      <c r="D29" s="15" t="s">
        <v>542</v>
      </c>
      <c r="E29" s="15" t="s">
        <v>543</v>
      </c>
      <c r="F29" s="16">
        <v>46115</v>
      </c>
      <c r="G29" s="16">
        <v>46116</v>
      </c>
      <c r="H29" s="15">
        <v>8</v>
      </c>
      <c r="I29" s="17">
        <v>5845</v>
      </c>
    </row>
    <row r="30" spans="1:9" x14ac:dyDescent="0.35">
      <c r="A30" s="15" t="s">
        <v>279</v>
      </c>
      <c r="B30" s="15" t="s">
        <v>280</v>
      </c>
      <c r="C30" s="15" t="s">
        <v>97</v>
      </c>
      <c r="D30" s="15" t="s">
        <v>548</v>
      </c>
      <c r="E30" s="15" t="s">
        <v>546</v>
      </c>
      <c r="F30" s="16">
        <v>45913</v>
      </c>
      <c r="G30" s="16">
        <v>45914</v>
      </c>
      <c r="H30" s="15">
        <v>8</v>
      </c>
      <c r="I30" s="17">
        <v>7242</v>
      </c>
    </row>
    <row r="31" spans="1:9" x14ac:dyDescent="0.35">
      <c r="A31" s="15" t="s">
        <v>302</v>
      </c>
      <c r="B31" s="15" t="s">
        <v>299</v>
      </c>
      <c r="C31" s="15" t="s">
        <v>150</v>
      </c>
      <c r="D31" s="15" t="s">
        <v>540</v>
      </c>
      <c r="E31" s="15" t="s">
        <v>541</v>
      </c>
      <c r="F31" s="16">
        <v>45768</v>
      </c>
      <c r="G31" s="16">
        <v>45769</v>
      </c>
      <c r="H31" s="15">
        <v>8</v>
      </c>
      <c r="I31" s="17">
        <v>2288</v>
      </c>
    </row>
    <row r="32" spans="1:9" x14ac:dyDescent="0.35">
      <c r="A32" s="15" t="s">
        <v>428</v>
      </c>
      <c r="B32" s="15" t="s">
        <v>387</v>
      </c>
      <c r="C32" s="15" t="s">
        <v>168</v>
      </c>
      <c r="D32" s="15" t="s">
        <v>547</v>
      </c>
      <c r="E32" s="15" t="s">
        <v>543</v>
      </c>
      <c r="F32" s="16">
        <v>46106</v>
      </c>
      <c r="G32" s="16">
        <v>46111</v>
      </c>
      <c r="H32" s="15">
        <v>40</v>
      </c>
      <c r="I32" s="17">
        <v>4225</v>
      </c>
    </row>
    <row r="33" spans="1:9" x14ac:dyDescent="0.35">
      <c r="A33" s="15" t="s">
        <v>356</v>
      </c>
      <c r="B33" s="15" t="s">
        <v>357</v>
      </c>
      <c r="C33" s="15" t="s">
        <v>113</v>
      </c>
      <c r="D33" s="15" t="s">
        <v>547</v>
      </c>
      <c r="E33" s="15" t="s">
        <v>543</v>
      </c>
      <c r="F33" s="16">
        <v>46162</v>
      </c>
      <c r="G33" s="16">
        <v>46167</v>
      </c>
      <c r="H33" s="15">
        <v>40</v>
      </c>
      <c r="I33" s="17">
        <v>7254</v>
      </c>
    </row>
    <row r="34" spans="1:9" x14ac:dyDescent="0.35">
      <c r="A34" s="15" t="s">
        <v>388</v>
      </c>
      <c r="B34" s="15" t="s">
        <v>308</v>
      </c>
      <c r="C34" s="15" t="s">
        <v>97</v>
      </c>
      <c r="D34" s="15" t="s">
        <v>545</v>
      </c>
      <c r="E34" s="15" t="s">
        <v>546</v>
      </c>
      <c r="F34" s="16">
        <v>46042</v>
      </c>
      <c r="G34" s="16">
        <v>46043</v>
      </c>
      <c r="H34" s="15">
        <v>8</v>
      </c>
      <c r="I34" s="17">
        <v>9355</v>
      </c>
    </row>
    <row r="35" spans="1:9" x14ac:dyDescent="0.35">
      <c r="A35" s="15" t="s">
        <v>426</v>
      </c>
      <c r="B35" s="15" t="s">
        <v>291</v>
      </c>
      <c r="C35" s="15" t="s">
        <v>150</v>
      </c>
      <c r="D35" s="15" t="s">
        <v>549</v>
      </c>
      <c r="E35" s="15" t="s">
        <v>543</v>
      </c>
      <c r="F35" s="16">
        <v>46324</v>
      </c>
      <c r="G35" s="16">
        <v>46326</v>
      </c>
      <c r="H35" s="15">
        <v>16</v>
      </c>
      <c r="I35" s="17">
        <v>4164</v>
      </c>
    </row>
    <row r="36" spans="1:9" x14ac:dyDescent="0.35">
      <c r="A36" s="15" t="s">
        <v>152</v>
      </c>
      <c r="B36" s="15" t="s">
        <v>153</v>
      </c>
      <c r="C36" s="15" t="s">
        <v>150</v>
      </c>
      <c r="D36" s="15" t="s">
        <v>551</v>
      </c>
      <c r="E36" s="15" t="s">
        <v>541</v>
      </c>
      <c r="F36" s="16">
        <v>45733</v>
      </c>
      <c r="G36" s="16">
        <v>45734</v>
      </c>
      <c r="H36" s="15">
        <v>8</v>
      </c>
      <c r="I36" s="17">
        <v>6331</v>
      </c>
    </row>
    <row r="37" spans="1:9" x14ac:dyDescent="0.35">
      <c r="A37" s="15" t="s">
        <v>220</v>
      </c>
      <c r="B37" s="15" t="s">
        <v>221</v>
      </c>
      <c r="C37" s="15" t="s">
        <v>133</v>
      </c>
      <c r="D37" s="15" t="s">
        <v>550</v>
      </c>
      <c r="E37" s="15" t="s">
        <v>543</v>
      </c>
      <c r="F37" s="16">
        <v>45984</v>
      </c>
      <c r="G37" s="16">
        <v>45987</v>
      </c>
      <c r="H37" s="15">
        <v>24</v>
      </c>
      <c r="I37" s="17">
        <v>3215</v>
      </c>
    </row>
    <row r="38" spans="1:9" x14ac:dyDescent="0.35">
      <c r="A38" s="15" t="s">
        <v>249</v>
      </c>
      <c r="B38" s="15" t="s">
        <v>250</v>
      </c>
      <c r="C38" s="15" t="s">
        <v>106</v>
      </c>
      <c r="D38" s="15" t="s">
        <v>544</v>
      </c>
      <c r="E38" s="15" t="s">
        <v>543</v>
      </c>
      <c r="F38" s="16">
        <v>46008</v>
      </c>
      <c r="G38" s="16">
        <v>46010</v>
      </c>
      <c r="H38" s="15">
        <v>16</v>
      </c>
      <c r="I38" s="17">
        <v>7651</v>
      </c>
    </row>
    <row r="39" spans="1:9" x14ac:dyDescent="0.35">
      <c r="A39" s="15" t="s">
        <v>173</v>
      </c>
      <c r="B39" s="15" t="s">
        <v>174</v>
      </c>
      <c r="C39" s="15" t="s">
        <v>163</v>
      </c>
      <c r="D39" s="15" t="s">
        <v>552</v>
      </c>
      <c r="E39" s="15" t="s">
        <v>543</v>
      </c>
      <c r="F39" s="16">
        <v>45734</v>
      </c>
      <c r="G39" s="16">
        <v>45735</v>
      </c>
      <c r="H39" s="15">
        <v>8</v>
      </c>
      <c r="I39" s="17">
        <v>7036</v>
      </c>
    </row>
    <row r="40" spans="1:9" x14ac:dyDescent="0.35">
      <c r="A40" s="15" t="s">
        <v>260</v>
      </c>
      <c r="B40" s="15" t="s">
        <v>261</v>
      </c>
      <c r="C40" s="15" t="s">
        <v>163</v>
      </c>
      <c r="D40" s="15" t="s">
        <v>549</v>
      </c>
      <c r="E40" s="15" t="s">
        <v>543</v>
      </c>
      <c r="F40" s="16">
        <v>46286</v>
      </c>
      <c r="G40" s="16">
        <v>46291</v>
      </c>
      <c r="H40" s="15">
        <v>40</v>
      </c>
      <c r="I40" s="17">
        <v>2007</v>
      </c>
    </row>
    <row r="41" spans="1:9" x14ac:dyDescent="0.35">
      <c r="A41" s="15" t="s">
        <v>196</v>
      </c>
      <c r="B41" s="15" t="s">
        <v>197</v>
      </c>
      <c r="C41" s="15" t="s">
        <v>113</v>
      </c>
      <c r="D41" s="15" t="s">
        <v>547</v>
      </c>
      <c r="E41" s="15" t="s">
        <v>543</v>
      </c>
      <c r="F41" s="16">
        <v>46327</v>
      </c>
      <c r="G41" s="16">
        <v>46329</v>
      </c>
      <c r="H41" s="15">
        <v>16</v>
      </c>
      <c r="I41" s="17">
        <v>11450</v>
      </c>
    </row>
    <row r="42" spans="1:9" x14ac:dyDescent="0.35">
      <c r="A42" s="15" t="s">
        <v>313</v>
      </c>
      <c r="B42" s="15" t="s">
        <v>314</v>
      </c>
      <c r="C42" s="15" t="s">
        <v>113</v>
      </c>
      <c r="D42" s="15" t="s">
        <v>547</v>
      </c>
      <c r="E42" s="15" t="s">
        <v>543</v>
      </c>
      <c r="F42" s="16">
        <v>45818</v>
      </c>
      <c r="G42" s="16">
        <v>45819</v>
      </c>
      <c r="H42" s="15">
        <v>8</v>
      </c>
      <c r="I42" s="17">
        <v>3159</v>
      </c>
    </row>
    <row r="43" spans="1:9" x14ac:dyDescent="0.35">
      <c r="A43" s="15" t="s">
        <v>448</v>
      </c>
      <c r="B43" s="15" t="s">
        <v>325</v>
      </c>
      <c r="C43" s="15" t="s">
        <v>133</v>
      </c>
      <c r="D43" s="15" t="s">
        <v>542</v>
      </c>
      <c r="E43" s="15" t="s">
        <v>543</v>
      </c>
      <c r="F43" s="16">
        <v>45868</v>
      </c>
      <c r="G43" s="16">
        <v>45870</v>
      </c>
      <c r="H43" s="15">
        <v>16</v>
      </c>
      <c r="I43" s="17">
        <v>8205</v>
      </c>
    </row>
    <row r="44" spans="1:9" x14ac:dyDescent="0.35">
      <c r="A44" s="15" t="s">
        <v>350</v>
      </c>
      <c r="B44" s="15" t="s">
        <v>351</v>
      </c>
      <c r="C44" s="15" t="s">
        <v>141</v>
      </c>
      <c r="D44" s="15" t="s">
        <v>545</v>
      </c>
      <c r="E44" s="15" t="s">
        <v>546</v>
      </c>
      <c r="F44" s="16">
        <v>46211</v>
      </c>
      <c r="G44" s="16">
        <v>46214</v>
      </c>
      <c r="H44" s="15">
        <v>24</v>
      </c>
      <c r="I44" s="17">
        <v>6112</v>
      </c>
    </row>
    <row r="45" spans="1:9" x14ac:dyDescent="0.35">
      <c r="A45" s="15" t="s">
        <v>288</v>
      </c>
      <c r="B45" s="15" t="s">
        <v>289</v>
      </c>
      <c r="C45" s="15" t="s">
        <v>163</v>
      </c>
      <c r="D45" s="15" t="s">
        <v>540</v>
      </c>
      <c r="E45" s="15" t="s">
        <v>541</v>
      </c>
      <c r="F45" s="16">
        <v>45901</v>
      </c>
      <c r="G45" s="16">
        <v>45902</v>
      </c>
      <c r="H45" s="15">
        <v>8</v>
      </c>
      <c r="I45" s="17">
        <v>2313</v>
      </c>
    </row>
    <row r="46" spans="1:9" x14ac:dyDescent="0.35">
      <c r="A46" s="15" t="s">
        <v>442</v>
      </c>
      <c r="B46" s="15" t="s">
        <v>261</v>
      </c>
      <c r="C46" s="15" t="s">
        <v>97</v>
      </c>
      <c r="D46" s="15" t="s">
        <v>547</v>
      </c>
      <c r="E46" s="15" t="s">
        <v>543</v>
      </c>
      <c r="F46" s="16">
        <v>46243</v>
      </c>
      <c r="G46" s="16">
        <v>46248</v>
      </c>
      <c r="H46" s="15">
        <v>40</v>
      </c>
      <c r="I46" s="17">
        <v>4016</v>
      </c>
    </row>
    <row r="47" spans="1:9" x14ac:dyDescent="0.35">
      <c r="A47" s="15" t="s">
        <v>310</v>
      </c>
      <c r="B47" s="15" t="s">
        <v>311</v>
      </c>
      <c r="C47" s="15" t="s">
        <v>133</v>
      </c>
      <c r="D47" s="15" t="s">
        <v>550</v>
      </c>
      <c r="E47" s="15" t="s">
        <v>543</v>
      </c>
      <c r="F47" s="16">
        <v>46027</v>
      </c>
      <c r="G47" s="16">
        <v>46028</v>
      </c>
      <c r="H47" s="15">
        <v>8</v>
      </c>
      <c r="I47" s="17">
        <v>8505</v>
      </c>
    </row>
    <row r="48" spans="1:9" x14ac:dyDescent="0.35">
      <c r="A48" s="15" t="s">
        <v>378</v>
      </c>
      <c r="B48" s="15" t="s">
        <v>379</v>
      </c>
      <c r="C48" s="15" t="s">
        <v>157</v>
      </c>
      <c r="D48" s="15" t="s">
        <v>544</v>
      </c>
      <c r="E48" s="15" t="s">
        <v>543</v>
      </c>
      <c r="F48" s="16">
        <v>45959</v>
      </c>
      <c r="G48" s="16">
        <v>45964</v>
      </c>
      <c r="H48" s="15">
        <v>40</v>
      </c>
      <c r="I48" s="17">
        <v>4771</v>
      </c>
    </row>
    <row r="49" spans="1:9" x14ac:dyDescent="0.35">
      <c r="A49" s="15" t="s">
        <v>292</v>
      </c>
      <c r="B49" s="15" t="s">
        <v>293</v>
      </c>
      <c r="C49" s="15" t="s">
        <v>150</v>
      </c>
      <c r="D49" s="15" t="s">
        <v>544</v>
      </c>
      <c r="E49" s="15" t="s">
        <v>543</v>
      </c>
      <c r="F49" s="16">
        <v>45684</v>
      </c>
      <c r="G49" s="16">
        <v>45686</v>
      </c>
      <c r="H49" s="15">
        <v>16</v>
      </c>
      <c r="I49" s="17">
        <v>4298</v>
      </c>
    </row>
    <row r="50" spans="1:9" x14ac:dyDescent="0.35">
      <c r="A50" s="15" t="s">
        <v>429</v>
      </c>
      <c r="B50" s="15" t="s">
        <v>430</v>
      </c>
      <c r="C50" s="15" t="s">
        <v>150</v>
      </c>
      <c r="D50" s="15" t="s">
        <v>540</v>
      </c>
      <c r="E50" s="15" t="s">
        <v>541</v>
      </c>
      <c r="F50" s="16">
        <v>45741</v>
      </c>
      <c r="G50" s="16">
        <v>45746</v>
      </c>
      <c r="H50" s="15">
        <v>40</v>
      </c>
      <c r="I50" s="17">
        <v>3392</v>
      </c>
    </row>
    <row r="51" spans="1:9" x14ac:dyDescent="0.35">
      <c r="A51" s="15" t="s">
        <v>111</v>
      </c>
      <c r="B51" s="15" t="s">
        <v>112</v>
      </c>
      <c r="C51" s="15" t="s">
        <v>113</v>
      </c>
      <c r="D51" s="15" t="s">
        <v>540</v>
      </c>
      <c r="E51" s="15" t="s">
        <v>541</v>
      </c>
      <c r="F51" s="16">
        <v>46065</v>
      </c>
      <c r="G51" s="16">
        <v>46070</v>
      </c>
      <c r="H51" s="15">
        <v>40</v>
      </c>
      <c r="I51" s="17">
        <v>9513</v>
      </c>
    </row>
    <row r="52" spans="1:9" x14ac:dyDescent="0.35">
      <c r="A52" s="15" t="s">
        <v>247</v>
      </c>
      <c r="B52" s="15" t="s">
        <v>248</v>
      </c>
      <c r="C52" s="15" t="s">
        <v>163</v>
      </c>
      <c r="D52" s="15" t="s">
        <v>540</v>
      </c>
      <c r="E52" s="15" t="s">
        <v>541</v>
      </c>
      <c r="F52" s="16">
        <v>45751</v>
      </c>
      <c r="G52" s="16">
        <v>45756</v>
      </c>
      <c r="H52" s="15">
        <v>40</v>
      </c>
      <c r="I52" s="17">
        <v>4529</v>
      </c>
    </row>
    <row r="53" spans="1:9" x14ac:dyDescent="0.35">
      <c r="A53" s="15" t="s">
        <v>346</v>
      </c>
      <c r="B53" s="15" t="s">
        <v>347</v>
      </c>
      <c r="C53" s="15" t="s">
        <v>160</v>
      </c>
      <c r="D53" s="15" t="s">
        <v>542</v>
      </c>
      <c r="E53" s="15" t="s">
        <v>543</v>
      </c>
      <c r="F53" s="16">
        <v>46048</v>
      </c>
      <c r="G53" s="16">
        <v>46051</v>
      </c>
      <c r="H53" s="15">
        <v>24</v>
      </c>
      <c r="I53" s="17">
        <v>4556</v>
      </c>
    </row>
    <row r="54" spans="1:9" x14ac:dyDescent="0.35">
      <c r="A54" s="15" t="s">
        <v>330</v>
      </c>
      <c r="B54" s="15" t="s">
        <v>331</v>
      </c>
      <c r="C54" s="15" t="s">
        <v>168</v>
      </c>
      <c r="D54" s="15" t="s">
        <v>551</v>
      </c>
      <c r="E54" s="15" t="s">
        <v>541</v>
      </c>
      <c r="F54" s="16">
        <v>45703</v>
      </c>
      <c r="G54" s="16">
        <v>45706</v>
      </c>
      <c r="H54" s="15">
        <v>24</v>
      </c>
      <c r="I54" s="17">
        <v>8704</v>
      </c>
    </row>
    <row r="55" spans="1:9" x14ac:dyDescent="0.35">
      <c r="A55" s="15" t="s">
        <v>241</v>
      </c>
      <c r="B55" s="15" t="s">
        <v>242</v>
      </c>
      <c r="C55" s="15" t="s">
        <v>168</v>
      </c>
      <c r="D55" s="15" t="s">
        <v>551</v>
      </c>
      <c r="E55" s="15" t="s">
        <v>541</v>
      </c>
      <c r="F55" s="16">
        <v>45927</v>
      </c>
      <c r="G55" s="16">
        <v>45929</v>
      </c>
      <c r="H55" s="15">
        <v>16</v>
      </c>
      <c r="I55" s="17">
        <v>5900</v>
      </c>
    </row>
    <row r="56" spans="1:9" x14ac:dyDescent="0.35">
      <c r="A56" s="15" t="s">
        <v>276</v>
      </c>
      <c r="B56" s="15" t="s">
        <v>277</v>
      </c>
      <c r="C56" s="15" t="s">
        <v>97</v>
      </c>
      <c r="D56" s="15" t="s">
        <v>549</v>
      </c>
      <c r="E56" s="15" t="s">
        <v>543</v>
      </c>
      <c r="F56" s="16">
        <v>45721</v>
      </c>
      <c r="G56" s="16">
        <v>45723</v>
      </c>
      <c r="H56" s="15">
        <v>16</v>
      </c>
      <c r="I56" s="17">
        <v>3084</v>
      </c>
    </row>
    <row r="57" spans="1:9" x14ac:dyDescent="0.35">
      <c r="A57" s="15" t="s">
        <v>369</v>
      </c>
      <c r="B57" s="15" t="s">
        <v>370</v>
      </c>
      <c r="C57" s="15" t="s">
        <v>106</v>
      </c>
      <c r="D57" s="15" t="s">
        <v>544</v>
      </c>
      <c r="E57" s="15" t="s">
        <v>543</v>
      </c>
      <c r="F57" s="16">
        <v>46342</v>
      </c>
      <c r="G57" s="16">
        <v>46345</v>
      </c>
      <c r="H57" s="15">
        <v>24</v>
      </c>
      <c r="I57" s="17">
        <v>10371</v>
      </c>
    </row>
    <row r="58" spans="1:9" x14ac:dyDescent="0.35">
      <c r="A58" s="15" t="s">
        <v>362</v>
      </c>
      <c r="B58" s="15" t="s">
        <v>363</v>
      </c>
      <c r="C58" s="15" t="s">
        <v>133</v>
      </c>
      <c r="D58" s="15" t="s">
        <v>547</v>
      </c>
      <c r="E58" s="15" t="s">
        <v>543</v>
      </c>
      <c r="F58" s="16">
        <v>46261</v>
      </c>
      <c r="G58" s="16">
        <v>46263</v>
      </c>
      <c r="H58" s="15">
        <v>16</v>
      </c>
      <c r="I58" s="17">
        <v>10570</v>
      </c>
    </row>
    <row r="59" spans="1:9" x14ac:dyDescent="0.35">
      <c r="A59" s="15" t="s">
        <v>402</v>
      </c>
      <c r="B59" s="15" t="s">
        <v>403</v>
      </c>
      <c r="C59" s="15" t="s">
        <v>157</v>
      </c>
      <c r="D59" s="15" t="s">
        <v>550</v>
      </c>
      <c r="E59" s="15" t="s">
        <v>543</v>
      </c>
      <c r="F59" s="16">
        <v>46054</v>
      </c>
      <c r="G59" s="16">
        <v>46059</v>
      </c>
      <c r="H59" s="15">
        <v>40</v>
      </c>
      <c r="I59" s="17">
        <v>10273</v>
      </c>
    </row>
    <row r="60" spans="1:9" x14ac:dyDescent="0.35">
      <c r="A60" s="15" t="s">
        <v>421</v>
      </c>
      <c r="B60" s="15" t="s">
        <v>257</v>
      </c>
      <c r="C60" s="15" t="s">
        <v>141</v>
      </c>
      <c r="D60" s="15" t="s">
        <v>551</v>
      </c>
      <c r="E60" s="15" t="s">
        <v>541</v>
      </c>
      <c r="F60" s="16">
        <v>46244</v>
      </c>
      <c r="G60" s="16">
        <v>46246</v>
      </c>
      <c r="H60" s="15">
        <v>16</v>
      </c>
      <c r="I60" s="17">
        <v>9303</v>
      </c>
    </row>
    <row r="61" spans="1:9" x14ac:dyDescent="0.35">
      <c r="A61" s="15" t="s">
        <v>297</v>
      </c>
      <c r="B61" s="15" t="s">
        <v>194</v>
      </c>
      <c r="C61" s="15" t="s">
        <v>168</v>
      </c>
      <c r="D61" s="15" t="s">
        <v>540</v>
      </c>
      <c r="E61" s="15" t="s">
        <v>541</v>
      </c>
      <c r="F61" s="16">
        <v>45738</v>
      </c>
      <c r="G61" s="16">
        <v>45743</v>
      </c>
      <c r="H61" s="15">
        <v>40</v>
      </c>
      <c r="I61" s="17">
        <v>2068</v>
      </c>
    </row>
    <row r="62" spans="1:9" x14ac:dyDescent="0.35">
      <c r="A62" s="15" t="s">
        <v>283</v>
      </c>
      <c r="B62" s="15" t="s">
        <v>284</v>
      </c>
      <c r="C62" s="15" t="s">
        <v>157</v>
      </c>
      <c r="D62" s="15" t="s">
        <v>545</v>
      </c>
      <c r="E62" s="15" t="s">
        <v>546</v>
      </c>
      <c r="F62" s="16">
        <v>46242</v>
      </c>
      <c r="G62" s="16">
        <v>46244</v>
      </c>
      <c r="H62" s="15">
        <v>16</v>
      </c>
      <c r="I62" s="17">
        <v>3470</v>
      </c>
    </row>
    <row r="63" spans="1:9" x14ac:dyDescent="0.35">
      <c r="A63" s="15" t="s">
        <v>232</v>
      </c>
      <c r="B63" s="15" t="s">
        <v>233</v>
      </c>
      <c r="C63" s="15" t="s">
        <v>106</v>
      </c>
      <c r="D63" s="15" t="s">
        <v>551</v>
      </c>
      <c r="E63" s="15" t="s">
        <v>541</v>
      </c>
      <c r="F63" s="16">
        <v>45835</v>
      </c>
      <c r="G63" s="16">
        <v>45837</v>
      </c>
      <c r="H63" s="15">
        <v>16</v>
      </c>
      <c r="I63" s="17">
        <v>4971</v>
      </c>
    </row>
    <row r="64" spans="1:9" x14ac:dyDescent="0.35">
      <c r="A64" s="15" t="s">
        <v>389</v>
      </c>
      <c r="B64" s="15" t="s">
        <v>304</v>
      </c>
      <c r="C64" s="15" t="s">
        <v>133</v>
      </c>
      <c r="D64" s="15" t="s">
        <v>548</v>
      </c>
      <c r="E64" s="15" t="s">
        <v>546</v>
      </c>
      <c r="F64" s="16">
        <v>45787</v>
      </c>
      <c r="G64" s="16">
        <v>45788</v>
      </c>
      <c r="H64" s="15">
        <v>8</v>
      </c>
      <c r="I64" s="17">
        <v>8436</v>
      </c>
    </row>
    <row r="65" spans="1:9" x14ac:dyDescent="0.35">
      <c r="A65" s="15" t="s">
        <v>217</v>
      </c>
      <c r="B65" s="15" t="s">
        <v>218</v>
      </c>
      <c r="C65" s="15" t="s">
        <v>113</v>
      </c>
      <c r="D65" s="15" t="s">
        <v>544</v>
      </c>
      <c r="E65" s="15" t="s">
        <v>543</v>
      </c>
      <c r="F65" s="16">
        <v>46357</v>
      </c>
      <c r="G65" s="16">
        <v>46362</v>
      </c>
      <c r="H65" s="15">
        <v>40</v>
      </c>
      <c r="I65" s="17">
        <v>4808</v>
      </c>
    </row>
    <row r="66" spans="1:9" x14ac:dyDescent="0.35">
      <c r="A66" s="15" t="s">
        <v>445</v>
      </c>
      <c r="B66" s="15" t="s">
        <v>446</v>
      </c>
      <c r="C66" s="15" t="s">
        <v>157</v>
      </c>
      <c r="D66" s="15" t="s">
        <v>552</v>
      </c>
      <c r="E66" s="15" t="s">
        <v>543</v>
      </c>
      <c r="F66" s="16">
        <v>46267</v>
      </c>
      <c r="G66" s="16">
        <v>46270</v>
      </c>
      <c r="H66" s="15">
        <v>24</v>
      </c>
      <c r="I66" s="17">
        <v>6738</v>
      </c>
    </row>
    <row r="67" spans="1:9" x14ac:dyDescent="0.35">
      <c r="A67" s="15" t="s">
        <v>120</v>
      </c>
      <c r="B67" s="15" t="s">
        <v>121</v>
      </c>
      <c r="C67" s="15" t="s">
        <v>97</v>
      </c>
      <c r="D67" s="15" t="s">
        <v>544</v>
      </c>
      <c r="E67" s="15" t="s">
        <v>543</v>
      </c>
      <c r="F67" s="16">
        <v>45747</v>
      </c>
      <c r="G67" s="16">
        <v>45752</v>
      </c>
      <c r="H67" s="15">
        <v>40</v>
      </c>
      <c r="I67" s="17">
        <v>10615</v>
      </c>
    </row>
    <row r="68" spans="1:9" x14ac:dyDescent="0.35">
      <c r="A68" s="15" t="s">
        <v>230</v>
      </c>
      <c r="B68" s="15" t="s">
        <v>231</v>
      </c>
      <c r="C68" s="15" t="s">
        <v>133</v>
      </c>
      <c r="D68" s="15" t="s">
        <v>547</v>
      </c>
      <c r="E68" s="15" t="s">
        <v>543</v>
      </c>
      <c r="F68" s="16">
        <v>46223</v>
      </c>
      <c r="G68" s="16">
        <v>46226</v>
      </c>
      <c r="H68" s="15">
        <v>24</v>
      </c>
      <c r="I68" s="17">
        <v>6025</v>
      </c>
    </row>
    <row r="69" spans="1:9" x14ac:dyDescent="0.35">
      <c r="A69" s="15" t="s">
        <v>303</v>
      </c>
      <c r="B69" s="15" t="s">
        <v>304</v>
      </c>
      <c r="C69" s="15" t="s">
        <v>113</v>
      </c>
      <c r="D69" s="15" t="s">
        <v>545</v>
      </c>
      <c r="E69" s="15" t="s">
        <v>546</v>
      </c>
      <c r="F69" s="16">
        <v>46127</v>
      </c>
      <c r="G69" s="16">
        <v>46128</v>
      </c>
      <c r="H69" s="15">
        <v>8</v>
      </c>
      <c r="I69" s="17">
        <v>11708</v>
      </c>
    </row>
    <row r="70" spans="1:9" x14ac:dyDescent="0.35">
      <c r="A70" s="15" t="s">
        <v>203</v>
      </c>
      <c r="B70" s="15" t="s">
        <v>105</v>
      </c>
      <c r="C70" s="15" t="s">
        <v>126</v>
      </c>
      <c r="D70" s="15" t="s">
        <v>549</v>
      </c>
      <c r="E70" s="15" t="s">
        <v>543</v>
      </c>
      <c r="F70" s="16">
        <v>46193</v>
      </c>
      <c r="G70" s="16">
        <v>46198</v>
      </c>
      <c r="H70" s="15">
        <v>40</v>
      </c>
      <c r="I70" s="17">
        <v>3343</v>
      </c>
    </row>
    <row r="71" spans="1:9" x14ac:dyDescent="0.35">
      <c r="A71" s="15" t="s">
        <v>336</v>
      </c>
      <c r="B71" s="15" t="s">
        <v>337</v>
      </c>
      <c r="C71" s="15" t="s">
        <v>97</v>
      </c>
      <c r="D71" s="15" t="s">
        <v>547</v>
      </c>
      <c r="E71" s="15" t="s">
        <v>543</v>
      </c>
      <c r="F71" s="16">
        <v>45811</v>
      </c>
      <c r="G71" s="16">
        <v>45813</v>
      </c>
      <c r="H71" s="15">
        <v>16</v>
      </c>
      <c r="I71" s="17">
        <v>10783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20" customWidth="1"/>
    <col min="3" max="3" width="26" customWidth="1"/>
    <col min="4" max="4" width="24" customWidth="1"/>
    <col min="5" max="5" width="8" customWidth="1"/>
    <col min="6" max="8" width="16" customWidth="1"/>
  </cols>
  <sheetData>
    <row r="1" spans="1:8" ht="26" x14ac:dyDescent="0.35">
      <c r="A1" s="13" t="s">
        <v>81</v>
      </c>
      <c r="B1" s="13" t="s">
        <v>82</v>
      </c>
      <c r="C1" s="13" t="s">
        <v>49</v>
      </c>
      <c r="D1" s="13" t="s">
        <v>553</v>
      </c>
      <c r="E1" s="13" t="s">
        <v>554</v>
      </c>
      <c r="F1" s="13" t="s">
        <v>555</v>
      </c>
      <c r="G1" s="13" t="s">
        <v>556</v>
      </c>
      <c r="H1" s="13" t="s">
        <v>557</v>
      </c>
    </row>
    <row r="2" spans="1:8" x14ac:dyDescent="0.35">
      <c r="A2" s="15" t="s">
        <v>439</v>
      </c>
      <c r="B2" s="15" t="s">
        <v>440</v>
      </c>
      <c r="C2" s="15" t="s">
        <v>141</v>
      </c>
      <c r="D2" s="15" t="s">
        <v>558</v>
      </c>
      <c r="E2" s="15">
        <v>2026</v>
      </c>
      <c r="F2" s="15">
        <v>20</v>
      </c>
      <c r="G2" s="15">
        <v>3</v>
      </c>
      <c r="H2" s="15">
        <f t="shared" ref="H2:H33" si="0">F2-G2</f>
        <v>17</v>
      </c>
    </row>
    <row r="3" spans="1:8" x14ac:dyDescent="0.35">
      <c r="A3" s="15" t="s">
        <v>437</v>
      </c>
      <c r="B3" s="15" t="s">
        <v>438</v>
      </c>
      <c r="C3" s="15" t="s">
        <v>168</v>
      </c>
      <c r="D3" s="15" t="s">
        <v>559</v>
      </c>
      <c r="E3" s="15">
        <v>2026</v>
      </c>
      <c r="F3" s="15">
        <v>10</v>
      </c>
      <c r="G3" s="15">
        <v>3</v>
      </c>
      <c r="H3" s="15">
        <f t="shared" si="0"/>
        <v>7</v>
      </c>
    </row>
    <row r="4" spans="1:8" x14ac:dyDescent="0.35">
      <c r="A4" s="15" t="s">
        <v>196</v>
      </c>
      <c r="B4" s="15" t="s">
        <v>197</v>
      </c>
      <c r="C4" s="15" t="s">
        <v>113</v>
      </c>
      <c r="D4" s="15" t="s">
        <v>558</v>
      </c>
      <c r="E4" s="15">
        <v>2026</v>
      </c>
      <c r="F4" s="15">
        <v>20</v>
      </c>
      <c r="G4" s="15">
        <v>15</v>
      </c>
      <c r="H4" s="15">
        <f t="shared" si="0"/>
        <v>5</v>
      </c>
    </row>
    <row r="5" spans="1:8" x14ac:dyDescent="0.35">
      <c r="A5" s="15" t="s">
        <v>201</v>
      </c>
      <c r="B5" s="15" t="s">
        <v>202</v>
      </c>
      <c r="C5" s="15" t="s">
        <v>106</v>
      </c>
      <c r="D5" s="15" t="s">
        <v>560</v>
      </c>
      <c r="E5" s="15">
        <v>2026</v>
      </c>
      <c r="F5" s="15">
        <v>112</v>
      </c>
      <c r="G5" s="15">
        <v>22</v>
      </c>
      <c r="H5" s="15">
        <f t="shared" si="0"/>
        <v>90</v>
      </c>
    </row>
    <row r="6" spans="1:8" x14ac:dyDescent="0.35">
      <c r="A6" s="15" t="s">
        <v>428</v>
      </c>
      <c r="B6" s="15" t="s">
        <v>387</v>
      </c>
      <c r="C6" s="15" t="s">
        <v>168</v>
      </c>
      <c r="D6" s="15" t="s">
        <v>558</v>
      </c>
      <c r="E6" s="15">
        <v>2026</v>
      </c>
      <c r="F6" s="15">
        <v>20</v>
      </c>
      <c r="G6" s="15">
        <v>17</v>
      </c>
      <c r="H6" s="15">
        <f t="shared" si="0"/>
        <v>3</v>
      </c>
    </row>
    <row r="7" spans="1:8" x14ac:dyDescent="0.35">
      <c r="A7" s="15" t="s">
        <v>449</v>
      </c>
      <c r="B7" s="15" t="s">
        <v>450</v>
      </c>
      <c r="C7" s="15" t="s">
        <v>157</v>
      </c>
      <c r="D7" s="15" t="s">
        <v>558</v>
      </c>
      <c r="E7" s="15">
        <v>2026</v>
      </c>
      <c r="F7" s="15">
        <v>20</v>
      </c>
      <c r="G7" s="15">
        <v>11</v>
      </c>
      <c r="H7" s="15">
        <f t="shared" si="0"/>
        <v>9</v>
      </c>
    </row>
    <row r="8" spans="1:8" x14ac:dyDescent="0.35">
      <c r="A8" s="15" t="s">
        <v>298</v>
      </c>
      <c r="B8" s="15" t="s">
        <v>299</v>
      </c>
      <c r="C8" s="15" t="s">
        <v>157</v>
      </c>
      <c r="D8" s="15" t="s">
        <v>561</v>
      </c>
      <c r="E8" s="15">
        <v>2026</v>
      </c>
      <c r="F8" s="15">
        <v>14</v>
      </c>
      <c r="G8" s="15">
        <v>13</v>
      </c>
      <c r="H8" s="15">
        <f t="shared" si="0"/>
        <v>1</v>
      </c>
    </row>
    <row r="9" spans="1:8" x14ac:dyDescent="0.35">
      <c r="A9" s="15" t="s">
        <v>415</v>
      </c>
      <c r="B9" s="15" t="s">
        <v>416</v>
      </c>
      <c r="C9" s="15" t="s">
        <v>163</v>
      </c>
      <c r="D9" s="15" t="s">
        <v>558</v>
      </c>
      <c r="E9" s="15">
        <v>2026</v>
      </c>
      <c r="F9" s="15">
        <v>20</v>
      </c>
      <c r="G9" s="15">
        <v>2</v>
      </c>
      <c r="H9" s="15">
        <f t="shared" si="0"/>
        <v>18</v>
      </c>
    </row>
    <row r="10" spans="1:8" x14ac:dyDescent="0.35">
      <c r="A10" s="15" t="s">
        <v>324</v>
      </c>
      <c r="B10" s="15" t="s">
        <v>325</v>
      </c>
      <c r="C10" s="15" t="s">
        <v>113</v>
      </c>
      <c r="D10" s="15" t="s">
        <v>558</v>
      </c>
      <c r="E10" s="15">
        <v>2026</v>
      </c>
      <c r="F10" s="15">
        <v>20</v>
      </c>
      <c r="G10" s="15">
        <v>0</v>
      </c>
      <c r="H10" s="15">
        <f t="shared" si="0"/>
        <v>20</v>
      </c>
    </row>
    <row r="11" spans="1:8" x14ac:dyDescent="0.35">
      <c r="A11" s="15" t="s">
        <v>356</v>
      </c>
      <c r="B11" s="15" t="s">
        <v>357</v>
      </c>
      <c r="C11" s="15" t="s">
        <v>113</v>
      </c>
      <c r="D11" s="15" t="s">
        <v>559</v>
      </c>
      <c r="E11" s="15">
        <v>2026</v>
      </c>
      <c r="F11" s="15">
        <v>10</v>
      </c>
      <c r="G11" s="15">
        <v>2</v>
      </c>
      <c r="H11" s="15">
        <f t="shared" si="0"/>
        <v>8</v>
      </c>
    </row>
    <row r="12" spans="1:8" x14ac:dyDescent="0.35">
      <c r="A12" s="15" t="s">
        <v>288</v>
      </c>
      <c r="B12" s="15" t="s">
        <v>289</v>
      </c>
      <c r="C12" s="15" t="s">
        <v>163</v>
      </c>
      <c r="D12" s="15" t="s">
        <v>561</v>
      </c>
      <c r="E12" s="15">
        <v>2026</v>
      </c>
      <c r="F12" s="15">
        <v>14</v>
      </c>
      <c r="G12" s="15">
        <v>13</v>
      </c>
      <c r="H12" s="15">
        <f t="shared" si="0"/>
        <v>1</v>
      </c>
    </row>
    <row r="13" spans="1:8" x14ac:dyDescent="0.35">
      <c r="A13" s="15" t="s">
        <v>343</v>
      </c>
      <c r="B13" s="15" t="s">
        <v>314</v>
      </c>
      <c r="C13" s="15" t="s">
        <v>133</v>
      </c>
      <c r="D13" s="15" t="s">
        <v>561</v>
      </c>
      <c r="E13" s="15">
        <v>2026</v>
      </c>
      <c r="F13" s="15">
        <v>14</v>
      </c>
      <c r="G13" s="15">
        <v>10</v>
      </c>
      <c r="H13" s="15">
        <f t="shared" si="0"/>
        <v>4</v>
      </c>
    </row>
    <row r="14" spans="1:8" x14ac:dyDescent="0.35">
      <c r="A14" s="15" t="s">
        <v>390</v>
      </c>
      <c r="B14" s="15" t="s">
        <v>299</v>
      </c>
      <c r="C14" s="15" t="s">
        <v>141</v>
      </c>
      <c r="D14" s="15" t="s">
        <v>561</v>
      </c>
      <c r="E14" s="15">
        <v>2026</v>
      </c>
      <c r="F14" s="15">
        <v>14</v>
      </c>
      <c r="G14" s="15">
        <v>10</v>
      </c>
      <c r="H14" s="15">
        <f t="shared" si="0"/>
        <v>4</v>
      </c>
    </row>
    <row r="15" spans="1:8" x14ac:dyDescent="0.35">
      <c r="A15" s="15" t="s">
        <v>431</v>
      </c>
      <c r="B15" s="15" t="s">
        <v>432</v>
      </c>
      <c r="C15" s="15" t="s">
        <v>160</v>
      </c>
      <c r="D15" s="15" t="s">
        <v>561</v>
      </c>
      <c r="E15" s="15">
        <v>2026</v>
      </c>
      <c r="F15" s="15">
        <v>14</v>
      </c>
      <c r="G15" s="15">
        <v>4</v>
      </c>
      <c r="H15" s="15">
        <f t="shared" si="0"/>
        <v>10</v>
      </c>
    </row>
    <row r="16" spans="1:8" x14ac:dyDescent="0.35">
      <c r="A16" s="15" t="s">
        <v>386</v>
      </c>
      <c r="B16" s="15" t="s">
        <v>387</v>
      </c>
      <c r="C16" s="15" t="s">
        <v>133</v>
      </c>
      <c r="D16" s="15" t="s">
        <v>558</v>
      </c>
      <c r="E16" s="15">
        <v>2026</v>
      </c>
      <c r="F16" s="15">
        <v>20</v>
      </c>
      <c r="G16" s="15">
        <v>0</v>
      </c>
      <c r="H16" s="15">
        <f t="shared" si="0"/>
        <v>20</v>
      </c>
    </row>
    <row r="17" spans="1:8" x14ac:dyDescent="0.35">
      <c r="A17" s="15" t="s">
        <v>144</v>
      </c>
      <c r="B17" s="15" t="s">
        <v>145</v>
      </c>
      <c r="C17" s="15" t="s">
        <v>106</v>
      </c>
      <c r="D17" s="15" t="s">
        <v>559</v>
      </c>
      <c r="E17" s="15">
        <v>2026</v>
      </c>
      <c r="F17" s="15">
        <v>10</v>
      </c>
      <c r="G17" s="15">
        <v>7</v>
      </c>
      <c r="H17" s="15">
        <f t="shared" si="0"/>
        <v>3</v>
      </c>
    </row>
    <row r="18" spans="1:8" x14ac:dyDescent="0.35">
      <c r="A18" s="15" t="s">
        <v>239</v>
      </c>
      <c r="B18" s="15" t="s">
        <v>240</v>
      </c>
      <c r="C18" s="15" t="s">
        <v>163</v>
      </c>
      <c r="D18" s="15" t="s">
        <v>561</v>
      </c>
      <c r="E18" s="15">
        <v>2026</v>
      </c>
      <c r="F18" s="15">
        <v>14</v>
      </c>
      <c r="G18" s="15">
        <v>10</v>
      </c>
      <c r="H18" s="15">
        <f t="shared" si="0"/>
        <v>4</v>
      </c>
    </row>
    <row r="19" spans="1:8" x14ac:dyDescent="0.35">
      <c r="A19" s="15" t="s">
        <v>294</v>
      </c>
      <c r="B19" s="15" t="s">
        <v>295</v>
      </c>
      <c r="C19" s="15" t="s">
        <v>163</v>
      </c>
      <c r="D19" s="15" t="s">
        <v>561</v>
      </c>
      <c r="E19" s="15">
        <v>2026</v>
      </c>
      <c r="F19" s="15">
        <v>14</v>
      </c>
      <c r="G19" s="15">
        <v>9</v>
      </c>
      <c r="H19" s="15">
        <f t="shared" si="0"/>
        <v>5</v>
      </c>
    </row>
    <row r="20" spans="1:8" x14ac:dyDescent="0.35">
      <c r="A20" s="15" t="s">
        <v>352</v>
      </c>
      <c r="B20" s="15" t="s">
        <v>353</v>
      </c>
      <c r="C20" s="15" t="s">
        <v>150</v>
      </c>
      <c r="D20" s="15" t="s">
        <v>559</v>
      </c>
      <c r="E20" s="15">
        <v>2026</v>
      </c>
      <c r="F20" s="15">
        <v>10</v>
      </c>
      <c r="G20" s="15">
        <v>3</v>
      </c>
      <c r="H20" s="15">
        <f t="shared" si="0"/>
        <v>7</v>
      </c>
    </row>
    <row r="21" spans="1:8" x14ac:dyDescent="0.35">
      <c r="A21" s="15" t="s">
        <v>222</v>
      </c>
      <c r="B21" s="15" t="s">
        <v>223</v>
      </c>
      <c r="C21" s="15" t="s">
        <v>141</v>
      </c>
      <c r="D21" s="15" t="s">
        <v>558</v>
      </c>
      <c r="E21" s="15">
        <v>2026</v>
      </c>
      <c r="F21" s="15">
        <v>20</v>
      </c>
      <c r="G21" s="15">
        <v>19</v>
      </c>
      <c r="H21" s="15">
        <f t="shared" si="0"/>
        <v>1</v>
      </c>
    </row>
    <row r="22" spans="1:8" x14ac:dyDescent="0.35">
      <c r="A22" s="15" t="s">
        <v>350</v>
      </c>
      <c r="B22" s="15" t="s">
        <v>351</v>
      </c>
      <c r="C22" s="15" t="s">
        <v>141</v>
      </c>
      <c r="D22" s="15" t="s">
        <v>558</v>
      </c>
      <c r="E22" s="15">
        <v>2026</v>
      </c>
      <c r="F22" s="15">
        <v>20</v>
      </c>
      <c r="G22" s="15">
        <v>20</v>
      </c>
      <c r="H22" s="15">
        <f t="shared" si="0"/>
        <v>0</v>
      </c>
    </row>
    <row r="23" spans="1:8" x14ac:dyDescent="0.35">
      <c r="A23" s="15" t="s">
        <v>447</v>
      </c>
      <c r="B23" s="15" t="s">
        <v>225</v>
      </c>
      <c r="C23" s="15" t="s">
        <v>126</v>
      </c>
      <c r="D23" s="15" t="s">
        <v>558</v>
      </c>
      <c r="E23" s="15">
        <v>2026</v>
      </c>
      <c r="F23" s="15">
        <v>20</v>
      </c>
      <c r="G23" s="15">
        <v>13</v>
      </c>
      <c r="H23" s="15">
        <f t="shared" si="0"/>
        <v>7</v>
      </c>
    </row>
    <row r="24" spans="1:8" x14ac:dyDescent="0.35">
      <c r="A24" s="15" t="s">
        <v>348</v>
      </c>
      <c r="B24" s="15" t="s">
        <v>349</v>
      </c>
      <c r="C24" s="15" t="s">
        <v>106</v>
      </c>
      <c r="D24" s="15" t="s">
        <v>561</v>
      </c>
      <c r="E24" s="15">
        <v>2026</v>
      </c>
      <c r="F24" s="15">
        <v>14</v>
      </c>
      <c r="G24" s="15">
        <v>7</v>
      </c>
      <c r="H24" s="15">
        <f t="shared" si="0"/>
        <v>7</v>
      </c>
    </row>
    <row r="25" spans="1:8" x14ac:dyDescent="0.35">
      <c r="A25" s="15" t="s">
        <v>316</v>
      </c>
      <c r="B25" s="15" t="s">
        <v>317</v>
      </c>
      <c r="C25" s="15" t="s">
        <v>163</v>
      </c>
      <c r="D25" s="15" t="s">
        <v>558</v>
      </c>
      <c r="E25" s="15">
        <v>2026</v>
      </c>
      <c r="F25" s="15">
        <v>20</v>
      </c>
      <c r="G25" s="15">
        <v>6</v>
      </c>
      <c r="H25" s="15">
        <f t="shared" si="0"/>
        <v>14</v>
      </c>
    </row>
    <row r="26" spans="1:8" x14ac:dyDescent="0.35">
      <c r="A26" s="15" t="s">
        <v>274</v>
      </c>
      <c r="B26" s="15" t="s">
        <v>275</v>
      </c>
      <c r="C26" s="15" t="s">
        <v>163</v>
      </c>
      <c r="D26" s="15" t="s">
        <v>560</v>
      </c>
      <c r="E26" s="15">
        <v>2026</v>
      </c>
      <c r="F26" s="15">
        <v>112</v>
      </c>
      <c r="G26" s="15">
        <v>38</v>
      </c>
      <c r="H26" s="15">
        <f t="shared" si="0"/>
        <v>74</v>
      </c>
    </row>
    <row r="27" spans="1:8" x14ac:dyDescent="0.35">
      <c r="A27" s="15" t="s">
        <v>155</v>
      </c>
      <c r="B27" s="15" t="s">
        <v>156</v>
      </c>
      <c r="C27" s="15" t="s">
        <v>157</v>
      </c>
      <c r="D27" s="15" t="s">
        <v>560</v>
      </c>
      <c r="E27" s="15">
        <v>2026</v>
      </c>
      <c r="F27" s="15">
        <v>112</v>
      </c>
      <c r="G27" s="15">
        <v>74</v>
      </c>
      <c r="H27" s="15">
        <f t="shared" si="0"/>
        <v>38</v>
      </c>
    </row>
    <row r="28" spans="1:8" x14ac:dyDescent="0.35">
      <c r="A28" s="15" t="s">
        <v>429</v>
      </c>
      <c r="B28" s="15" t="s">
        <v>430</v>
      </c>
      <c r="C28" s="15" t="s">
        <v>150</v>
      </c>
      <c r="D28" s="15" t="s">
        <v>559</v>
      </c>
      <c r="E28" s="15">
        <v>2026</v>
      </c>
      <c r="F28" s="15">
        <v>10</v>
      </c>
      <c r="G28" s="15">
        <v>0</v>
      </c>
      <c r="H28" s="15">
        <f t="shared" si="0"/>
        <v>10</v>
      </c>
    </row>
    <row r="29" spans="1:8" x14ac:dyDescent="0.35">
      <c r="A29" s="15" t="s">
        <v>290</v>
      </c>
      <c r="B29" s="15" t="s">
        <v>291</v>
      </c>
      <c r="C29" s="15" t="s">
        <v>113</v>
      </c>
      <c r="D29" s="15" t="s">
        <v>558</v>
      </c>
      <c r="E29" s="15">
        <v>2026</v>
      </c>
      <c r="F29" s="15">
        <v>20</v>
      </c>
      <c r="G29" s="15">
        <v>17</v>
      </c>
      <c r="H29" s="15">
        <f t="shared" si="0"/>
        <v>3</v>
      </c>
    </row>
    <row r="30" spans="1:8" x14ac:dyDescent="0.35">
      <c r="A30" s="15" t="s">
        <v>338</v>
      </c>
      <c r="B30" s="15" t="s">
        <v>257</v>
      </c>
      <c r="C30" s="15" t="s">
        <v>141</v>
      </c>
      <c r="D30" s="15" t="s">
        <v>558</v>
      </c>
      <c r="E30" s="15">
        <v>2026</v>
      </c>
      <c r="F30" s="15">
        <v>20</v>
      </c>
      <c r="G30" s="15">
        <v>9</v>
      </c>
      <c r="H30" s="15">
        <f t="shared" si="0"/>
        <v>11</v>
      </c>
    </row>
    <row r="31" spans="1:8" x14ac:dyDescent="0.35">
      <c r="A31" s="15" t="s">
        <v>127</v>
      </c>
      <c r="B31" s="15" t="s">
        <v>128</v>
      </c>
      <c r="C31" s="15" t="s">
        <v>106</v>
      </c>
      <c r="D31" s="15" t="s">
        <v>559</v>
      </c>
      <c r="E31" s="15">
        <v>2026</v>
      </c>
      <c r="F31" s="15">
        <v>10</v>
      </c>
      <c r="G31" s="15">
        <v>7</v>
      </c>
      <c r="H31" s="15">
        <f t="shared" si="0"/>
        <v>3</v>
      </c>
    </row>
    <row r="32" spans="1:8" x14ac:dyDescent="0.35">
      <c r="A32" s="15" t="s">
        <v>320</v>
      </c>
      <c r="B32" s="15" t="s">
        <v>321</v>
      </c>
      <c r="C32" s="15" t="s">
        <v>113</v>
      </c>
      <c r="D32" s="15" t="s">
        <v>559</v>
      </c>
      <c r="E32" s="15">
        <v>2026</v>
      </c>
      <c r="F32" s="15">
        <v>10</v>
      </c>
      <c r="G32" s="15">
        <v>5</v>
      </c>
      <c r="H32" s="15">
        <f t="shared" si="0"/>
        <v>5</v>
      </c>
    </row>
    <row r="33" spans="1:8" x14ac:dyDescent="0.35">
      <c r="A33" s="15" t="s">
        <v>305</v>
      </c>
      <c r="B33" s="15" t="s">
        <v>306</v>
      </c>
      <c r="C33" s="15" t="s">
        <v>97</v>
      </c>
      <c r="D33" s="15" t="s">
        <v>558</v>
      </c>
      <c r="E33" s="15">
        <v>2026</v>
      </c>
      <c r="F33" s="15">
        <v>20</v>
      </c>
      <c r="G33" s="15">
        <v>20</v>
      </c>
      <c r="H33" s="15">
        <f t="shared" si="0"/>
        <v>0</v>
      </c>
    </row>
    <row r="34" spans="1:8" x14ac:dyDescent="0.35">
      <c r="A34" s="15" t="s">
        <v>309</v>
      </c>
      <c r="B34" s="15" t="s">
        <v>308</v>
      </c>
      <c r="C34" s="15" t="s">
        <v>141</v>
      </c>
      <c r="D34" s="15" t="s">
        <v>558</v>
      </c>
      <c r="E34" s="15">
        <v>2026</v>
      </c>
      <c r="F34" s="15">
        <v>20</v>
      </c>
      <c r="G34" s="15">
        <v>8</v>
      </c>
      <c r="H34" s="15">
        <f t="shared" ref="H34:H65" si="1">F34-G34</f>
        <v>12</v>
      </c>
    </row>
    <row r="35" spans="1:8" x14ac:dyDescent="0.35">
      <c r="A35" s="15" t="s">
        <v>220</v>
      </c>
      <c r="B35" s="15" t="s">
        <v>221</v>
      </c>
      <c r="C35" s="15" t="s">
        <v>133</v>
      </c>
      <c r="D35" s="15" t="s">
        <v>558</v>
      </c>
      <c r="E35" s="15">
        <v>2026</v>
      </c>
      <c r="F35" s="15">
        <v>20</v>
      </c>
      <c r="G35" s="15">
        <v>20</v>
      </c>
      <c r="H35" s="15">
        <f t="shared" si="1"/>
        <v>0</v>
      </c>
    </row>
    <row r="36" spans="1:8" x14ac:dyDescent="0.35">
      <c r="A36" s="15" t="s">
        <v>360</v>
      </c>
      <c r="B36" s="15" t="s">
        <v>361</v>
      </c>
      <c r="C36" s="15" t="s">
        <v>97</v>
      </c>
      <c r="D36" s="15" t="s">
        <v>558</v>
      </c>
      <c r="E36" s="15">
        <v>2026</v>
      </c>
      <c r="F36" s="15">
        <v>20</v>
      </c>
      <c r="G36" s="15">
        <v>6</v>
      </c>
      <c r="H36" s="15">
        <f t="shared" si="1"/>
        <v>14</v>
      </c>
    </row>
    <row r="37" spans="1:8" x14ac:dyDescent="0.35">
      <c r="A37" s="15" t="s">
        <v>279</v>
      </c>
      <c r="B37" s="15" t="s">
        <v>280</v>
      </c>
      <c r="C37" s="15" t="s">
        <v>97</v>
      </c>
      <c r="D37" s="15" t="s">
        <v>561</v>
      </c>
      <c r="E37" s="15">
        <v>2026</v>
      </c>
      <c r="F37" s="15">
        <v>14</v>
      </c>
      <c r="G37" s="15">
        <v>8</v>
      </c>
      <c r="H37" s="15">
        <f t="shared" si="1"/>
        <v>6</v>
      </c>
    </row>
    <row r="38" spans="1:8" x14ac:dyDescent="0.35">
      <c r="A38" s="15" t="s">
        <v>364</v>
      </c>
      <c r="B38" s="15" t="s">
        <v>162</v>
      </c>
      <c r="C38" s="15" t="s">
        <v>163</v>
      </c>
      <c r="D38" s="15" t="s">
        <v>561</v>
      </c>
      <c r="E38" s="15">
        <v>2026</v>
      </c>
      <c r="F38" s="15">
        <v>14</v>
      </c>
      <c r="G38" s="15">
        <v>14</v>
      </c>
      <c r="H38" s="15">
        <f t="shared" si="1"/>
        <v>0</v>
      </c>
    </row>
    <row r="39" spans="1:8" x14ac:dyDescent="0.35">
      <c r="A39" s="15" t="s">
        <v>326</v>
      </c>
      <c r="B39" s="15" t="s">
        <v>327</v>
      </c>
      <c r="C39" s="15" t="s">
        <v>113</v>
      </c>
      <c r="D39" s="15" t="s">
        <v>559</v>
      </c>
      <c r="E39" s="15">
        <v>2026</v>
      </c>
      <c r="F39" s="15">
        <v>10</v>
      </c>
      <c r="G39" s="15">
        <v>9</v>
      </c>
      <c r="H39" s="15">
        <f t="shared" si="1"/>
        <v>1</v>
      </c>
    </row>
    <row r="40" spans="1:8" x14ac:dyDescent="0.35">
      <c r="A40" s="15" t="s">
        <v>322</v>
      </c>
      <c r="B40" s="15" t="s">
        <v>323</v>
      </c>
      <c r="C40" s="15" t="s">
        <v>160</v>
      </c>
      <c r="D40" s="15" t="s">
        <v>560</v>
      </c>
      <c r="E40" s="15">
        <v>2026</v>
      </c>
      <c r="F40" s="15">
        <v>112</v>
      </c>
      <c r="G40" s="15">
        <v>84</v>
      </c>
      <c r="H40" s="15">
        <f t="shared" si="1"/>
        <v>28</v>
      </c>
    </row>
    <row r="41" spans="1:8" x14ac:dyDescent="0.35">
      <c r="A41" s="15" t="s">
        <v>409</v>
      </c>
      <c r="B41" s="15" t="s">
        <v>410</v>
      </c>
      <c r="C41" s="15" t="s">
        <v>150</v>
      </c>
      <c r="D41" s="15" t="s">
        <v>558</v>
      </c>
      <c r="E41" s="15">
        <v>2026</v>
      </c>
      <c r="F41" s="15">
        <v>20</v>
      </c>
      <c r="G41" s="15">
        <v>4</v>
      </c>
      <c r="H41" s="15">
        <f t="shared" si="1"/>
        <v>16</v>
      </c>
    </row>
    <row r="42" spans="1:8" x14ac:dyDescent="0.35">
      <c r="A42" s="15" t="s">
        <v>367</v>
      </c>
      <c r="B42" s="15" t="s">
        <v>368</v>
      </c>
      <c r="C42" s="15" t="s">
        <v>141</v>
      </c>
      <c r="D42" s="15" t="s">
        <v>559</v>
      </c>
      <c r="E42" s="15">
        <v>2026</v>
      </c>
      <c r="F42" s="15">
        <v>10</v>
      </c>
      <c r="G42" s="15">
        <v>10</v>
      </c>
      <c r="H42" s="15">
        <f t="shared" si="1"/>
        <v>0</v>
      </c>
    </row>
    <row r="43" spans="1:8" x14ac:dyDescent="0.35">
      <c r="A43" s="15" t="s">
        <v>205</v>
      </c>
      <c r="B43" s="15" t="s">
        <v>206</v>
      </c>
      <c r="C43" s="15" t="s">
        <v>141</v>
      </c>
      <c r="D43" s="15" t="s">
        <v>561</v>
      </c>
      <c r="E43" s="15">
        <v>2026</v>
      </c>
      <c r="F43" s="15">
        <v>14</v>
      </c>
      <c r="G43" s="15">
        <v>4</v>
      </c>
      <c r="H43" s="15">
        <f t="shared" si="1"/>
        <v>10</v>
      </c>
    </row>
    <row r="44" spans="1:8" x14ac:dyDescent="0.35">
      <c r="A44" s="15" t="s">
        <v>173</v>
      </c>
      <c r="B44" s="15" t="s">
        <v>174</v>
      </c>
      <c r="C44" s="15" t="s">
        <v>163</v>
      </c>
      <c r="D44" s="15" t="s">
        <v>561</v>
      </c>
      <c r="E44" s="15">
        <v>2026</v>
      </c>
      <c r="F44" s="15">
        <v>14</v>
      </c>
      <c r="G44" s="15">
        <v>6</v>
      </c>
      <c r="H44" s="15">
        <f t="shared" si="1"/>
        <v>8</v>
      </c>
    </row>
    <row r="45" spans="1:8" x14ac:dyDescent="0.35">
      <c r="A45" s="15" t="s">
        <v>226</v>
      </c>
      <c r="B45" s="15" t="s">
        <v>227</v>
      </c>
      <c r="C45" s="15" t="s">
        <v>141</v>
      </c>
      <c r="D45" s="15" t="s">
        <v>559</v>
      </c>
      <c r="E45" s="15">
        <v>2026</v>
      </c>
      <c r="F45" s="15">
        <v>10</v>
      </c>
      <c r="G45" s="15">
        <v>9</v>
      </c>
      <c r="H45" s="15">
        <f t="shared" si="1"/>
        <v>1</v>
      </c>
    </row>
    <row r="46" spans="1:8" x14ac:dyDescent="0.35">
      <c r="A46" s="15" t="s">
        <v>402</v>
      </c>
      <c r="B46" s="15" t="s">
        <v>403</v>
      </c>
      <c r="C46" s="15" t="s">
        <v>157</v>
      </c>
      <c r="D46" s="15" t="s">
        <v>561</v>
      </c>
      <c r="E46" s="15">
        <v>2026</v>
      </c>
      <c r="F46" s="15">
        <v>14</v>
      </c>
      <c r="G46" s="15">
        <v>5</v>
      </c>
      <c r="H46" s="15">
        <f t="shared" si="1"/>
        <v>9</v>
      </c>
    </row>
    <row r="47" spans="1:8" x14ac:dyDescent="0.35">
      <c r="A47" s="15" t="s">
        <v>267</v>
      </c>
      <c r="B47" s="15" t="s">
        <v>268</v>
      </c>
      <c r="C47" s="15" t="s">
        <v>160</v>
      </c>
      <c r="D47" s="15" t="s">
        <v>561</v>
      </c>
      <c r="E47" s="15">
        <v>2026</v>
      </c>
      <c r="F47" s="15">
        <v>14</v>
      </c>
      <c r="G47" s="15">
        <v>10</v>
      </c>
      <c r="H47" s="15">
        <f t="shared" si="1"/>
        <v>4</v>
      </c>
    </row>
    <row r="48" spans="1:8" x14ac:dyDescent="0.35">
      <c r="A48" s="15" t="s">
        <v>344</v>
      </c>
      <c r="B48" s="15" t="s">
        <v>345</v>
      </c>
      <c r="C48" s="15" t="s">
        <v>157</v>
      </c>
      <c r="D48" s="15" t="s">
        <v>558</v>
      </c>
      <c r="E48" s="15">
        <v>2026</v>
      </c>
      <c r="F48" s="15">
        <v>20</v>
      </c>
      <c r="G48" s="15">
        <v>11</v>
      </c>
      <c r="H48" s="15">
        <f t="shared" si="1"/>
        <v>9</v>
      </c>
    </row>
    <row r="49" spans="1:8" x14ac:dyDescent="0.35">
      <c r="A49" s="15" t="s">
        <v>453</v>
      </c>
      <c r="B49" s="15" t="s">
        <v>454</v>
      </c>
      <c r="C49" s="15" t="s">
        <v>126</v>
      </c>
      <c r="D49" s="15" t="s">
        <v>558</v>
      </c>
      <c r="E49" s="15">
        <v>2026</v>
      </c>
      <c r="F49" s="15">
        <v>20</v>
      </c>
      <c r="G49" s="15">
        <v>5</v>
      </c>
      <c r="H49" s="15">
        <f t="shared" si="1"/>
        <v>15</v>
      </c>
    </row>
    <row r="50" spans="1:8" x14ac:dyDescent="0.35">
      <c r="A50" s="15" t="s">
        <v>232</v>
      </c>
      <c r="B50" s="15" t="s">
        <v>233</v>
      </c>
      <c r="C50" s="15" t="s">
        <v>106</v>
      </c>
      <c r="D50" s="15" t="s">
        <v>561</v>
      </c>
      <c r="E50" s="15">
        <v>2026</v>
      </c>
      <c r="F50" s="15">
        <v>14</v>
      </c>
      <c r="G50" s="15">
        <v>4</v>
      </c>
      <c r="H50" s="15">
        <f t="shared" si="1"/>
        <v>10</v>
      </c>
    </row>
    <row r="51" spans="1:8" x14ac:dyDescent="0.35">
      <c r="A51" s="15" t="s">
        <v>217</v>
      </c>
      <c r="B51" s="15" t="s">
        <v>218</v>
      </c>
      <c r="C51" s="15" t="s">
        <v>113</v>
      </c>
      <c r="D51" s="15" t="s">
        <v>559</v>
      </c>
      <c r="E51" s="15">
        <v>2026</v>
      </c>
      <c r="F51" s="15">
        <v>10</v>
      </c>
      <c r="G51" s="15">
        <v>7</v>
      </c>
      <c r="H51" s="15">
        <f t="shared" si="1"/>
        <v>3</v>
      </c>
    </row>
    <row r="52" spans="1:8" x14ac:dyDescent="0.35">
      <c r="A52" s="15" t="s">
        <v>334</v>
      </c>
      <c r="B52" s="15" t="s">
        <v>335</v>
      </c>
      <c r="C52" s="15" t="s">
        <v>126</v>
      </c>
      <c r="D52" s="15" t="s">
        <v>561</v>
      </c>
      <c r="E52" s="15">
        <v>2026</v>
      </c>
      <c r="F52" s="15">
        <v>14</v>
      </c>
      <c r="G52" s="15">
        <v>11</v>
      </c>
      <c r="H52" s="15">
        <f t="shared" si="1"/>
        <v>3</v>
      </c>
    </row>
    <row r="53" spans="1:8" x14ac:dyDescent="0.35">
      <c r="A53" s="15" t="s">
        <v>260</v>
      </c>
      <c r="B53" s="15" t="s">
        <v>261</v>
      </c>
      <c r="C53" s="15" t="s">
        <v>163</v>
      </c>
      <c r="D53" s="15" t="s">
        <v>558</v>
      </c>
      <c r="E53" s="15">
        <v>2026</v>
      </c>
      <c r="F53" s="15">
        <v>20</v>
      </c>
      <c r="G53" s="15">
        <v>17</v>
      </c>
      <c r="H53" s="15">
        <f t="shared" si="1"/>
        <v>3</v>
      </c>
    </row>
    <row r="54" spans="1:8" x14ac:dyDescent="0.35">
      <c r="A54" s="15" t="s">
        <v>396</v>
      </c>
      <c r="B54" s="15" t="s">
        <v>397</v>
      </c>
      <c r="C54" s="15" t="s">
        <v>163</v>
      </c>
      <c r="D54" s="15" t="s">
        <v>561</v>
      </c>
      <c r="E54" s="15">
        <v>2026</v>
      </c>
      <c r="F54" s="15">
        <v>14</v>
      </c>
      <c r="G54" s="15">
        <v>10</v>
      </c>
      <c r="H54" s="15">
        <f t="shared" si="1"/>
        <v>4</v>
      </c>
    </row>
    <row r="55" spans="1:8" x14ac:dyDescent="0.35">
      <c r="A55" s="15" t="s">
        <v>313</v>
      </c>
      <c r="B55" s="15" t="s">
        <v>314</v>
      </c>
      <c r="C55" s="15" t="s">
        <v>113</v>
      </c>
      <c r="D55" s="15" t="s">
        <v>558</v>
      </c>
      <c r="E55" s="15">
        <v>2026</v>
      </c>
      <c r="F55" s="15">
        <v>20</v>
      </c>
      <c r="G55" s="15">
        <v>20</v>
      </c>
      <c r="H55" s="15">
        <f t="shared" si="1"/>
        <v>0</v>
      </c>
    </row>
    <row r="56" spans="1:8" x14ac:dyDescent="0.35">
      <c r="A56" s="15" t="s">
        <v>152</v>
      </c>
      <c r="B56" s="15" t="s">
        <v>153</v>
      </c>
      <c r="C56" s="15" t="s">
        <v>150</v>
      </c>
      <c r="D56" s="15" t="s">
        <v>559</v>
      </c>
      <c r="E56" s="15">
        <v>2026</v>
      </c>
      <c r="F56" s="15">
        <v>10</v>
      </c>
      <c r="G56" s="15">
        <v>3</v>
      </c>
      <c r="H56" s="15">
        <f t="shared" si="1"/>
        <v>7</v>
      </c>
    </row>
    <row r="57" spans="1:8" x14ac:dyDescent="0.35">
      <c r="A57" s="15" t="s">
        <v>193</v>
      </c>
      <c r="B57" s="15" t="s">
        <v>194</v>
      </c>
      <c r="C57" s="15" t="s">
        <v>168</v>
      </c>
      <c r="D57" s="15" t="s">
        <v>558</v>
      </c>
      <c r="E57" s="15">
        <v>2026</v>
      </c>
      <c r="F57" s="15">
        <v>20</v>
      </c>
      <c r="G57" s="15">
        <v>7</v>
      </c>
      <c r="H57" s="15">
        <f t="shared" si="1"/>
        <v>13</v>
      </c>
    </row>
    <row r="58" spans="1:8" x14ac:dyDescent="0.35">
      <c r="A58" s="15" t="s">
        <v>373</v>
      </c>
      <c r="B58" s="15" t="s">
        <v>374</v>
      </c>
      <c r="C58" s="15" t="s">
        <v>150</v>
      </c>
      <c r="D58" s="15" t="s">
        <v>558</v>
      </c>
      <c r="E58" s="15">
        <v>2026</v>
      </c>
      <c r="F58" s="15">
        <v>20</v>
      </c>
      <c r="G58" s="15">
        <v>13</v>
      </c>
      <c r="H58" s="15">
        <f t="shared" si="1"/>
        <v>7</v>
      </c>
    </row>
    <row r="59" spans="1:8" x14ac:dyDescent="0.35">
      <c r="A59" s="15" t="s">
        <v>448</v>
      </c>
      <c r="B59" s="15" t="s">
        <v>325</v>
      </c>
      <c r="C59" s="15" t="s">
        <v>133</v>
      </c>
      <c r="D59" s="15" t="s">
        <v>558</v>
      </c>
      <c r="E59" s="15">
        <v>2026</v>
      </c>
      <c r="F59" s="15">
        <v>20</v>
      </c>
      <c r="G59" s="15">
        <v>11</v>
      </c>
      <c r="H59" s="15">
        <f t="shared" si="1"/>
        <v>9</v>
      </c>
    </row>
    <row r="60" spans="1:8" x14ac:dyDescent="0.35">
      <c r="A60" s="15" t="s">
        <v>256</v>
      </c>
      <c r="B60" s="15" t="s">
        <v>257</v>
      </c>
      <c r="C60" s="15" t="s">
        <v>141</v>
      </c>
      <c r="D60" s="15" t="s">
        <v>558</v>
      </c>
      <c r="E60" s="15">
        <v>2026</v>
      </c>
      <c r="F60" s="15">
        <v>20</v>
      </c>
      <c r="G60" s="15">
        <v>18</v>
      </c>
      <c r="H60" s="15">
        <f t="shared" si="1"/>
        <v>2</v>
      </c>
    </row>
    <row r="61" spans="1:8" x14ac:dyDescent="0.35">
      <c r="A61" s="15" t="s">
        <v>336</v>
      </c>
      <c r="B61" s="15" t="s">
        <v>337</v>
      </c>
      <c r="C61" s="15" t="s">
        <v>97</v>
      </c>
      <c r="D61" s="15" t="s">
        <v>558</v>
      </c>
      <c r="E61" s="15">
        <v>2026</v>
      </c>
      <c r="F61" s="15">
        <v>20</v>
      </c>
      <c r="G61" s="15">
        <v>14</v>
      </c>
      <c r="H61" s="15">
        <f t="shared" si="1"/>
        <v>6</v>
      </c>
    </row>
    <row r="62" spans="1:8" x14ac:dyDescent="0.35">
      <c r="A62" s="15" t="s">
        <v>433</v>
      </c>
      <c r="B62" s="15" t="s">
        <v>434</v>
      </c>
      <c r="C62" s="15" t="s">
        <v>157</v>
      </c>
      <c r="D62" s="15" t="s">
        <v>559</v>
      </c>
      <c r="E62" s="15">
        <v>2026</v>
      </c>
      <c r="F62" s="15">
        <v>10</v>
      </c>
      <c r="G62" s="15">
        <v>7</v>
      </c>
      <c r="H62" s="15">
        <f t="shared" si="1"/>
        <v>3</v>
      </c>
    </row>
    <row r="63" spans="1:8" x14ac:dyDescent="0.35">
      <c r="A63" s="15" t="s">
        <v>341</v>
      </c>
      <c r="B63" s="15" t="s">
        <v>342</v>
      </c>
      <c r="C63" s="15" t="s">
        <v>133</v>
      </c>
      <c r="D63" s="15" t="s">
        <v>559</v>
      </c>
      <c r="E63" s="15">
        <v>2026</v>
      </c>
      <c r="F63" s="15">
        <v>10</v>
      </c>
      <c r="G63" s="15">
        <v>10</v>
      </c>
      <c r="H63" s="15">
        <f t="shared" si="1"/>
        <v>0</v>
      </c>
    </row>
    <row r="64" spans="1:8" x14ac:dyDescent="0.35">
      <c r="A64" s="15" t="s">
        <v>287</v>
      </c>
      <c r="B64" s="15" t="s">
        <v>237</v>
      </c>
      <c r="C64" s="15" t="s">
        <v>157</v>
      </c>
      <c r="D64" s="15" t="s">
        <v>559</v>
      </c>
      <c r="E64" s="15">
        <v>2026</v>
      </c>
      <c r="F64" s="15">
        <v>10</v>
      </c>
      <c r="G64" s="15">
        <v>7</v>
      </c>
      <c r="H64" s="15">
        <f t="shared" si="1"/>
        <v>3</v>
      </c>
    </row>
    <row r="65" spans="1:8" x14ac:dyDescent="0.35">
      <c r="A65" s="15" t="s">
        <v>245</v>
      </c>
      <c r="B65" s="15" t="s">
        <v>246</v>
      </c>
      <c r="C65" s="15" t="s">
        <v>97</v>
      </c>
      <c r="D65" s="15" t="s">
        <v>561</v>
      </c>
      <c r="E65" s="15">
        <v>2026</v>
      </c>
      <c r="F65" s="15">
        <v>14</v>
      </c>
      <c r="G65" s="15">
        <v>8</v>
      </c>
      <c r="H65" s="15">
        <f t="shared" si="1"/>
        <v>6</v>
      </c>
    </row>
    <row r="66" spans="1:8" x14ac:dyDescent="0.35">
      <c r="A66" s="15" t="s">
        <v>135</v>
      </c>
      <c r="B66" s="15" t="s">
        <v>136</v>
      </c>
      <c r="C66" s="15" t="s">
        <v>106</v>
      </c>
      <c r="D66" s="15" t="s">
        <v>559</v>
      </c>
      <c r="E66" s="15">
        <v>2026</v>
      </c>
      <c r="F66" s="15">
        <v>10</v>
      </c>
      <c r="G66" s="15">
        <v>10</v>
      </c>
      <c r="H66" s="15">
        <f t="shared" ref="H66:H97" si="2">F66-G66</f>
        <v>0</v>
      </c>
    </row>
    <row r="67" spans="1:8" x14ac:dyDescent="0.35">
      <c r="A67" s="15" t="s">
        <v>285</v>
      </c>
      <c r="B67" s="15" t="s">
        <v>286</v>
      </c>
      <c r="C67" s="15" t="s">
        <v>168</v>
      </c>
      <c r="D67" s="15" t="s">
        <v>558</v>
      </c>
      <c r="E67" s="15">
        <v>2026</v>
      </c>
      <c r="F67" s="15">
        <v>20</v>
      </c>
      <c r="G67" s="15">
        <v>9</v>
      </c>
      <c r="H67" s="15">
        <f t="shared" si="2"/>
        <v>11</v>
      </c>
    </row>
    <row r="68" spans="1:8" x14ac:dyDescent="0.35">
      <c r="A68" s="15" t="s">
        <v>182</v>
      </c>
      <c r="B68" s="15" t="s">
        <v>183</v>
      </c>
      <c r="C68" s="15" t="s">
        <v>126</v>
      </c>
      <c r="D68" s="15" t="s">
        <v>559</v>
      </c>
      <c r="E68" s="15">
        <v>2026</v>
      </c>
      <c r="F68" s="15">
        <v>10</v>
      </c>
      <c r="G68" s="15">
        <v>2</v>
      </c>
      <c r="H68" s="15">
        <f t="shared" si="2"/>
        <v>8</v>
      </c>
    </row>
    <row r="69" spans="1:8" x14ac:dyDescent="0.35">
      <c r="A69" s="15" t="s">
        <v>139</v>
      </c>
      <c r="B69" s="15" t="s">
        <v>140</v>
      </c>
      <c r="C69" s="15" t="s">
        <v>141</v>
      </c>
      <c r="D69" s="15" t="s">
        <v>561</v>
      </c>
      <c r="E69" s="15">
        <v>2026</v>
      </c>
      <c r="F69" s="15">
        <v>14</v>
      </c>
      <c r="G69" s="15">
        <v>3</v>
      </c>
      <c r="H69" s="15">
        <f t="shared" si="2"/>
        <v>11</v>
      </c>
    </row>
    <row r="70" spans="1:8" x14ac:dyDescent="0.35">
      <c r="A70" s="15" t="s">
        <v>228</v>
      </c>
      <c r="B70" s="15" t="s">
        <v>229</v>
      </c>
      <c r="C70" s="15" t="s">
        <v>163</v>
      </c>
      <c r="D70" s="15" t="s">
        <v>558</v>
      </c>
      <c r="E70" s="15">
        <v>2026</v>
      </c>
      <c r="F70" s="15">
        <v>20</v>
      </c>
      <c r="G70" s="15">
        <v>13</v>
      </c>
      <c r="H70" s="15">
        <f t="shared" si="2"/>
        <v>7</v>
      </c>
    </row>
    <row r="71" spans="1:8" x14ac:dyDescent="0.35">
      <c r="A71" s="15" t="s">
        <v>328</v>
      </c>
      <c r="B71" s="15" t="s">
        <v>329</v>
      </c>
      <c r="C71" s="15" t="s">
        <v>150</v>
      </c>
      <c r="D71" s="15" t="s">
        <v>559</v>
      </c>
      <c r="E71" s="15">
        <v>2026</v>
      </c>
      <c r="F71" s="15">
        <v>10</v>
      </c>
      <c r="G71" s="15">
        <v>5</v>
      </c>
      <c r="H71" s="15">
        <f t="shared" si="2"/>
        <v>5</v>
      </c>
    </row>
    <row r="72" spans="1:8" x14ac:dyDescent="0.35">
      <c r="A72" s="15" t="s">
        <v>283</v>
      </c>
      <c r="B72" s="15" t="s">
        <v>284</v>
      </c>
      <c r="C72" s="15" t="s">
        <v>157</v>
      </c>
      <c r="D72" s="15" t="s">
        <v>561</v>
      </c>
      <c r="E72" s="15">
        <v>2026</v>
      </c>
      <c r="F72" s="15">
        <v>14</v>
      </c>
      <c r="G72" s="15">
        <v>12</v>
      </c>
      <c r="H72" s="15">
        <f t="shared" si="2"/>
        <v>2</v>
      </c>
    </row>
    <row r="73" spans="1:8" x14ac:dyDescent="0.35">
      <c r="A73" s="15" t="s">
        <v>254</v>
      </c>
      <c r="B73" s="15" t="s">
        <v>255</v>
      </c>
      <c r="C73" s="15" t="s">
        <v>133</v>
      </c>
      <c r="D73" s="15" t="s">
        <v>559</v>
      </c>
      <c r="E73" s="15">
        <v>2026</v>
      </c>
      <c r="F73" s="15">
        <v>10</v>
      </c>
      <c r="G73" s="15">
        <v>7</v>
      </c>
      <c r="H73" s="15">
        <f t="shared" si="2"/>
        <v>3</v>
      </c>
    </row>
    <row r="74" spans="1:8" x14ac:dyDescent="0.35">
      <c r="A74" s="15" t="s">
        <v>378</v>
      </c>
      <c r="B74" s="15" t="s">
        <v>379</v>
      </c>
      <c r="C74" s="15" t="s">
        <v>157</v>
      </c>
      <c r="D74" s="15" t="s">
        <v>558</v>
      </c>
      <c r="E74" s="15">
        <v>2026</v>
      </c>
      <c r="F74" s="15">
        <v>20</v>
      </c>
      <c r="G74" s="15">
        <v>20</v>
      </c>
      <c r="H74" s="15">
        <f t="shared" si="2"/>
        <v>0</v>
      </c>
    </row>
    <row r="75" spans="1:8" x14ac:dyDescent="0.35">
      <c r="A75" s="15" t="s">
        <v>451</v>
      </c>
      <c r="B75" s="15" t="s">
        <v>452</v>
      </c>
      <c r="C75" s="15" t="s">
        <v>160</v>
      </c>
      <c r="D75" s="15" t="s">
        <v>561</v>
      </c>
      <c r="E75" s="15">
        <v>2026</v>
      </c>
      <c r="F75" s="15">
        <v>14</v>
      </c>
      <c r="G75" s="15">
        <v>5</v>
      </c>
      <c r="H75" s="15">
        <f t="shared" si="2"/>
        <v>9</v>
      </c>
    </row>
    <row r="76" spans="1:8" x14ac:dyDescent="0.35">
      <c r="A76" s="15" t="s">
        <v>297</v>
      </c>
      <c r="B76" s="15" t="s">
        <v>194</v>
      </c>
      <c r="C76" s="15" t="s">
        <v>168</v>
      </c>
      <c r="D76" s="15" t="s">
        <v>559</v>
      </c>
      <c r="E76" s="15">
        <v>2026</v>
      </c>
      <c r="F76" s="15">
        <v>10</v>
      </c>
      <c r="G76" s="15">
        <v>0</v>
      </c>
      <c r="H76" s="15">
        <f t="shared" si="2"/>
        <v>10</v>
      </c>
    </row>
    <row r="77" spans="1:8" x14ac:dyDescent="0.35">
      <c r="A77" s="15" t="s">
        <v>120</v>
      </c>
      <c r="B77" s="15" t="s">
        <v>121</v>
      </c>
      <c r="C77" s="15" t="s">
        <v>97</v>
      </c>
      <c r="D77" s="15" t="s">
        <v>561</v>
      </c>
      <c r="E77" s="15">
        <v>2026</v>
      </c>
      <c r="F77" s="15">
        <v>14</v>
      </c>
      <c r="G77" s="15">
        <v>3</v>
      </c>
      <c r="H77" s="15">
        <f t="shared" si="2"/>
        <v>11</v>
      </c>
    </row>
    <row r="78" spans="1:8" x14ac:dyDescent="0.35">
      <c r="A78" s="15" t="s">
        <v>188</v>
      </c>
      <c r="B78" s="15" t="s">
        <v>189</v>
      </c>
      <c r="C78" s="15" t="s">
        <v>133</v>
      </c>
      <c r="D78" s="15" t="s">
        <v>561</v>
      </c>
      <c r="E78" s="15">
        <v>2026</v>
      </c>
      <c r="F78" s="15">
        <v>14</v>
      </c>
      <c r="G78" s="15">
        <v>9</v>
      </c>
      <c r="H78" s="15">
        <f t="shared" si="2"/>
        <v>5</v>
      </c>
    </row>
    <row r="79" spans="1:8" x14ac:dyDescent="0.35">
      <c r="A79" s="15" t="s">
        <v>354</v>
      </c>
      <c r="B79" s="15" t="s">
        <v>355</v>
      </c>
      <c r="C79" s="15" t="s">
        <v>113</v>
      </c>
      <c r="D79" s="15" t="s">
        <v>561</v>
      </c>
      <c r="E79" s="15">
        <v>2026</v>
      </c>
      <c r="F79" s="15">
        <v>14</v>
      </c>
      <c r="G79" s="15">
        <v>7</v>
      </c>
      <c r="H79" s="15">
        <f t="shared" si="2"/>
        <v>7</v>
      </c>
    </row>
    <row r="80" spans="1:8" x14ac:dyDescent="0.35">
      <c r="A80" s="15" t="s">
        <v>445</v>
      </c>
      <c r="B80" s="15" t="s">
        <v>446</v>
      </c>
      <c r="C80" s="15" t="s">
        <v>157</v>
      </c>
      <c r="D80" s="15" t="s">
        <v>559</v>
      </c>
      <c r="E80" s="15">
        <v>2026</v>
      </c>
      <c r="F80" s="15">
        <v>10</v>
      </c>
      <c r="G80" s="15">
        <v>2</v>
      </c>
      <c r="H80" s="15">
        <f t="shared" si="2"/>
        <v>8</v>
      </c>
    </row>
    <row r="81" spans="1:8" x14ac:dyDescent="0.35">
      <c r="A81" s="15" t="s">
        <v>375</v>
      </c>
      <c r="B81" s="15" t="s">
        <v>376</v>
      </c>
      <c r="C81" s="15" t="s">
        <v>113</v>
      </c>
      <c r="D81" s="15" t="s">
        <v>558</v>
      </c>
      <c r="E81" s="15">
        <v>2026</v>
      </c>
      <c r="F81" s="15">
        <v>20</v>
      </c>
      <c r="G81" s="15">
        <v>13</v>
      </c>
      <c r="H81" s="15">
        <f t="shared" si="2"/>
        <v>7</v>
      </c>
    </row>
    <row r="82" spans="1:8" x14ac:dyDescent="0.35">
      <c r="A82" s="15" t="s">
        <v>210</v>
      </c>
      <c r="B82" s="15" t="s">
        <v>211</v>
      </c>
      <c r="C82" s="15" t="s">
        <v>157</v>
      </c>
      <c r="D82" s="15" t="s">
        <v>561</v>
      </c>
      <c r="E82" s="15">
        <v>2026</v>
      </c>
      <c r="F82" s="15">
        <v>14</v>
      </c>
      <c r="G82" s="15">
        <v>7</v>
      </c>
      <c r="H82" s="15">
        <f t="shared" si="2"/>
        <v>7</v>
      </c>
    </row>
    <row r="83" spans="1:8" x14ac:dyDescent="0.35">
      <c r="A83" s="15" t="s">
        <v>124</v>
      </c>
      <c r="B83" s="15" t="s">
        <v>125</v>
      </c>
      <c r="C83" s="15" t="s">
        <v>126</v>
      </c>
      <c r="D83" s="15" t="s">
        <v>559</v>
      </c>
      <c r="E83" s="15">
        <v>2026</v>
      </c>
      <c r="F83" s="15">
        <v>10</v>
      </c>
      <c r="G83" s="15">
        <v>0</v>
      </c>
      <c r="H83" s="15">
        <f t="shared" si="2"/>
        <v>10</v>
      </c>
    </row>
    <row r="84" spans="1:8" x14ac:dyDescent="0.35">
      <c r="A84" s="15" t="s">
        <v>271</v>
      </c>
      <c r="B84" s="15" t="s">
        <v>223</v>
      </c>
      <c r="C84" s="15" t="s">
        <v>106</v>
      </c>
      <c r="D84" s="15" t="s">
        <v>561</v>
      </c>
      <c r="E84" s="15">
        <v>2026</v>
      </c>
      <c r="F84" s="15">
        <v>14</v>
      </c>
      <c r="G84" s="15">
        <v>11</v>
      </c>
      <c r="H84" s="15">
        <f t="shared" si="2"/>
        <v>3</v>
      </c>
    </row>
    <row r="85" spans="1:8" x14ac:dyDescent="0.35">
      <c r="A85" s="15" t="s">
        <v>131</v>
      </c>
      <c r="B85" s="15" t="s">
        <v>132</v>
      </c>
      <c r="C85" s="15" t="s">
        <v>133</v>
      </c>
      <c r="D85" s="15" t="s">
        <v>558</v>
      </c>
      <c r="E85" s="15">
        <v>2026</v>
      </c>
      <c r="F85" s="15">
        <v>20</v>
      </c>
      <c r="G85" s="15">
        <v>0</v>
      </c>
      <c r="H85" s="15">
        <f t="shared" si="2"/>
        <v>20</v>
      </c>
    </row>
    <row r="86" spans="1:8" x14ac:dyDescent="0.35">
      <c r="A86" s="15" t="s">
        <v>243</v>
      </c>
      <c r="B86" s="15" t="s">
        <v>244</v>
      </c>
      <c r="C86" s="15" t="s">
        <v>160</v>
      </c>
      <c r="D86" s="15" t="s">
        <v>558</v>
      </c>
      <c r="E86" s="15">
        <v>2026</v>
      </c>
      <c r="F86" s="15">
        <v>20</v>
      </c>
      <c r="G86" s="15">
        <v>16</v>
      </c>
      <c r="H86" s="15">
        <f t="shared" si="2"/>
        <v>4</v>
      </c>
    </row>
    <row r="87" spans="1:8" x14ac:dyDescent="0.35">
      <c r="A87" s="15" t="s">
        <v>312</v>
      </c>
      <c r="B87" s="15" t="s">
        <v>284</v>
      </c>
      <c r="C87" s="15" t="s">
        <v>157</v>
      </c>
      <c r="D87" s="15" t="s">
        <v>561</v>
      </c>
      <c r="E87" s="15">
        <v>2026</v>
      </c>
      <c r="F87" s="15">
        <v>14</v>
      </c>
      <c r="G87" s="15">
        <v>0</v>
      </c>
      <c r="H87" s="15">
        <f t="shared" si="2"/>
        <v>14</v>
      </c>
    </row>
    <row r="88" spans="1:8" x14ac:dyDescent="0.35">
      <c r="A88" s="15" t="s">
        <v>392</v>
      </c>
      <c r="B88" s="15" t="s">
        <v>393</v>
      </c>
      <c r="C88" s="15" t="s">
        <v>106</v>
      </c>
      <c r="D88" s="15" t="s">
        <v>559</v>
      </c>
      <c r="E88" s="15">
        <v>2026</v>
      </c>
      <c r="F88" s="15">
        <v>10</v>
      </c>
      <c r="G88" s="15">
        <v>10</v>
      </c>
      <c r="H88" s="15">
        <f t="shared" si="2"/>
        <v>0</v>
      </c>
    </row>
    <row r="89" spans="1:8" x14ac:dyDescent="0.35">
      <c r="A89" s="15" t="s">
        <v>339</v>
      </c>
      <c r="B89" s="15" t="s">
        <v>340</v>
      </c>
      <c r="C89" s="15" t="s">
        <v>163</v>
      </c>
      <c r="D89" s="15" t="s">
        <v>561</v>
      </c>
      <c r="E89" s="15">
        <v>2026</v>
      </c>
      <c r="F89" s="15">
        <v>14</v>
      </c>
      <c r="G89" s="15">
        <v>3</v>
      </c>
      <c r="H89" s="15">
        <f t="shared" si="2"/>
        <v>11</v>
      </c>
    </row>
    <row r="90" spans="1:8" x14ac:dyDescent="0.35">
      <c r="A90" s="15" t="s">
        <v>272</v>
      </c>
      <c r="B90" s="15" t="s">
        <v>273</v>
      </c>
      <c r="C90" s="15" t="s">
        <v>141</v>
      </c>
      <c r="D90" s="15" t="s">
        <v>558</v>
      </c>
      <c r="E90" s="15">
        <v>2026</v>
      </c>
      <c r="F90" s="15">
        <v>20</v>
      </c>
      <c r="G90" s="15">
        <v>9</v>
      </c>
      <c r="H90" s="15">
        <f t="shared" si="2"/>
        <v>11</v>
      </c>
    </row>
    <row r="91" spans="1:8" x14ac:dyDescent="0.35">
      <c r="A91" s="15" t="s">
        <v>388</v>
      </c>
      <c r="B91" s="15" t="s">
        <v>308</v>
      </c>
      <c r="C91" s="15" t="s">
        <v>97</v>
      </c>
      <c r="D91" s="15" t="s">
        <v>561</v>
      </c>
      <c r="E91" s="15">
        <v>2026</v>
      </c>
      <c r="F91" s="15">
        <v>14</v>
      </c>
      <c r="G91" s="15">
        <v>1</v>
      </c>
      <c r="H91" s="15">
        <f t="shared" si="2"/>
        <v>13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Dashboard_KPIs</vt:lpstr>
      <vt:lpstr>Employee_Master</vt:lpstr>
      <vt:lpstr>Dept_Payroll_Summary</vt:lpstr>
      <vt:lpstr>Recruitment</vt:lpstr>
      <vt:lpstr>Attrition</vt:lpstr>
      <vt:lpstr>Training</vt:lpstr>
      <vt:lpstr>Leave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2026-09-06T05:56:16Z</dcterms:created>
  <dcterms:modified xsi:type="dcterms:W3CDTF">2026-09-06T06:15:13Z</dcterms:modified>
  <dc:language>en-US</dc:language>
</cp:coreProperties>
</file>